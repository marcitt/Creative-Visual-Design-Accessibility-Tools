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rci/Downloads/"/>
    </mc:Choice>
  </mc:AlternateContent>
  <xr:revisionPtr revIDLastSave="0" documentId="13_ncr:1_{C32DBDC6-3CED-EB4D-89FF-D0D77FA28C09}" xr6:coauthVersionLast="47" xr6:coauthVersionMax="47" xr10:uidLastSave="{00000000-0000-0000-0000-000000000000}"/>
  <bookViews>
    <workbookView xWindow="40" yWindow="760" windowWidth="25420" windowHeight="17460" xr2:uid="{00000000-000D-0000-FFFF-FFFF00000000}"/>
  </bookViews>
  <sheets>
    <sheet name="Sheet1" sheetId="1" r:id="rId1"/>
    <sheet name="_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  <c r="P52" i="1"/>
  <c r="O52" i="1"/>
  <c r="E52" i="1"/>
  <c r="O51" i="1"/>
  <c r="E51" i="1"/>
  <c r="P51" i="1" s="1"/>
  <c r="P50" i="1"/>
  <c r="O50" i="1"/>
  <c r="P49" i="1"/>
  <c r="O49" i="1"/>
  <c r="O48" i="1"/>
  <c r="E48" i="1"/>
  <c r="P48" i="1" s="1"/>
  <c r="P47" i="1"/>
  <c r="O47" i="1"/>
  <c r="O46" i="1"/>
  <c r="E46" i="1"/>
  <c r="P46" i="1" s="1"/>
  <c r="O45" i="1"/>
  <c r="E45" i="1"/>
  <c r="P45" i="1" s="1"/>
  <c r="P44" i="1"/>
  <c r="O44" i="1"/>
  <c r="O43" i="1"/>
  <c r="E43" i="1"/>
  <c r="P43" i="1" s="1"/>
  <c r="O42" i="1"/>
  <c r="E42" i="1"/>
  <c r="P42" i="1" s="1"/>
  <c r="P41" i="1"/>
  <c r="O41" i="1"/>
  <c r="P40" i="1"/>
  <c r="O40" i="1"/>
  <c r="P39" i="1"/>
  <c r="O39" i="1"/>
  <c r="O38" i="1"/>
  <c r="E38" i="1"/>
  <c r="P38" i="1" s="1"/>
  <c r="P37" i="1"/>
  <c r="O37" i="1"/>
  <c r="P36" i="1"/>
  <c r="O36" i="1"/>
  <c r="E36" i="1"/>
  <c r="O35" i="1"/>
  <c r="E35" i="1"/>
  <c r="P35" i="1" s="1"/>
  <c r="O34" i="1"/>
  <c r="E34" i="1"/>
  <c r="P34" i="1" s="1"/>
  <c r="P33" i="1"/>
  <c r="O33" i="1"/>
  <c r="O32" i="1"/>
  <c r="E32" i="1"/>
  <c r="P32" i="1" s="1"/>
  <c r="O31" i="1"/>
  <c r="E31" i="1"/>
  <c r="P31" i="1" s="1"/>
  <c r="P30" i="1"/>
  <c r="O30" i="1"/>
  <c r="E30" i="1"/>
  <c r="P29" i="1"/>
  <c r="O29" i="1"/>
  <c r="O28" i="1"/>
  <c r="E28" i="1"/>
  <c r="P28" i="1" s="1"/>
  <c r="P27" i="1"/>
  <c r="O27" i="1"/>
  <c r="O26" i="1"/>
  <c r="E26" i="1"/>
  <c r="P26" i="1" s="1"/>
  <c r="O25" i="1"/>
  <c r="E25" i="1"/>
  <c r="P25" i="1" s="1"/>
  <c r="P24" i="1"/>
  <c r="O24" i="1"/>
  <c r="O23" i="1"/>
  <c r="E23" i="1"/>
  <c r="P23" i="1" s="1"/>
  <c r="P22" i="1"/>
  <c r="O22" i="1"/>
  <c r="P21" i="1"/>
  <c r="O21" i="1"/>
  <c r="P20" i="1"/>
  <c r="O20" i="1"/>
  <c r="P19" i="1"/>
  <c r="O19" i="1"/>
  <c r="O18" i="1"/>
  <c r="E18" i="1"/>
  <c r="P18" i="1" s="1"/>
  <c r="P17" i="1"/>
  <c r="O17" i="1"/>
  <c r="P16" i="1"/>
  <c r="O16" i="1"/>
  <c r="E16" i="1"/>
  <c r="O15" i="1"/>
  <c r="E15" i="1"/>
  <c r="P15" i="1" s="1"/>
  <c r="O14" i="1"/>
  <c r="E14" i="1"/>
  <c r="P14" i="1" s="1"/>
  <c r="O13" i="1"/>
  <c r="E13" i="1"/>
  <c r="P13" i="1" s="1"/>
  <c r="O12" i="1"/>
  <c r="E12" i="1"/>
  <c r="P12" i="1" s="1"/>
  <c r="P11" i="1"/>
  <c r="O11" i="1"/>
  <c r="P10" i="1"/>
  <c r="O10" i="1"/>
  <c r="O9" i="1"/>
  <c r="E9" i="1"/>
  <c r="P9" i="1" s="1"/>
  <c r="P8" i="1"/>
  <c r="O8" i="1"/>
  <c r="P7" i="1"/>
  <c r="O7" i="1"/>
  <c r="P6" i="1"/>
  <c r="O6" i="1"/>
  <c r="O5" i="1"/>
  <c r="E5" i="1"/>
  <c r="P5" i="1" s="1"/>
  <c r="P4" i="1"/>
  <c r="O4" i="1"/>
  <c r="E4" i="1"/>
  <c r="O3" i="1"/>
  <c r="E3" i="1"/>
  <c r="P3" i="1" s="1"/>
  <c r="O2" i="1"/>
  <c r="E2" i="1"/>
  <c r="P2" i="1" s="1"/>
</calcChain>
</file>

<file path=xl/sharedStrings.xml><?xml version="1.0" encoding="utf-8"?>
<sst xmlns="http://schemas.openxmlformats.org/spreadsheetml/2006/main" count="324" uniqueCount="98">
  <si>
    <t>Title</t>
  </si>
  <si>
    <t>video</t>
  </si>
  <si>
    <t>sample</t>
  </si>
  <si>
    <t>start</t>
  </si>
  <si>
    <t>end</t>
  </si>
  <si>
    <t>initial_code</t>
  </si>
  <si>
    <t>action</t>
  </si>
  <si>
    <t>difficulty_with_existing_speech_tools</t>
  </si>
  <si>
    <t>tag_primary</t>
  </si>
  <si>
    <t>tag_secondary</t>
  </si>
  <si>
    <t>how_primary</t>
  </si>
  <si>
    <t>how_secondary</t>
  </si>
  <si>
    <t>location</t>
  </si>
  <si>
    <t>intent</t>
  </si>
  <si>
    <t>adjusted_start</t>
  </si>
  <si>
    <t>adjusted_end</t>
  </si>
  <si>
    <t>duration</t>
  </si>
  <si>
    <t>true_duration</t>
  </si>
  <si>
    <t>true_duration_unlabelled</t>
  </si>
  <si>
    <t>estimated_duration</t>
  </si>
  <si>
    <t>insights_and_notes</t>
  </si>
  <si>
    <t>UI Design Cinema Ticketing in Figma - UI Speed Design | Week - 12</t>
  </si>
  <si>
    <t>https://www.youtube.com/watch?v=JkC4o1U5zgM&amp;list=PLfrBp-7QhDqtmJ8oAjYhP6PLQqwDI0z1S&amp;index=6</t>
  </si>
  <si>
    <t>[zoom] and [pan]</t>
  </si>
  <si>
    <t>VERY HARD</t>
  </si>
  <si>
    <t>navigation</t>
  </si>
  <si>
    <t>complex gesture</t>
  </si>
  <si>
    <t>combining zooming and panning is hard</t>
  </si>
  <si>
    <t>[activate] [tool]</t>
  </si>
  <si>
    <t>EASY</t>
  </si>
  <si>
    <t>activate tool</t>
  </si>
  <si>
    <t>cursor</t>
  </si>
  <si>
    <t>gui</t>
  </si>
  <si>
    <t>activate text tool</t>
  </si>
  <si>
    <t>[zoom]</t>
  </si>
  <si>
    <t>HARD</t>
  </si>
  <si>
    <t>gesture</t>
  </si>
  <si>
    <t>[create] [text object] at [new position] on [canvas]</t>
  </si>
  <si>
    <t>creating text</t>
  </si>
  <si>
    <t>canvas</t>
  </si>
  <si>
    <t>choosing position is hard</t>
  </si>
  <si>
    <t>[update] [text object] using [keyboard]</t>
  </si>
  <si>
    <t>MEDIUM</t>
  </si>
  <si>
    <t>update text object content</t>
  </si>
  <si>
    <t>keyboard</t>
  </si>
  <si>
    <t>[click] [gui icon]</t>
  </si>
  <si>
    <t>update text object property</t>
  </si>
  <si>
    <t>update text alignment</t>
  </si>
  <si>
    <t>[update] [gui input] to [value]</t>
  </si>
  <si>
    <t>multi_step</t>
  </si>
  <si>
    <t>update letter spacing</t>
  </si>
  <si>
    <t>[drag] [selected] to [new position] using [cursor] and [alignment grids]</t>
  </si>
  <si>
    <t>spatial positioning</t>
  </si>
  <si>
    <t>[move] [selected] to [new position] using [keyboard] and [alignment grids]</t>
  </si>
  <si>
    <t>alignment grids only show up for conventional keyboard and cursor actions - not when accessibility tools are used</t>
  </si>
  <si>
    <t>update text object size</t>
  </si>
  <si>
    <t>update text size</t>
  </si>
  <si>
    <t>[duplicate] [selected]</t>
  </si>
  <si>
    <t>copy/paste</t>
  </si>
  <si>
    <t>[drag] [selected] to [new position] using [cursor]</t>
  </si>
  <si>
    <t>[multiselect] [design objects] on [canvas] using [cursor]</t>
  </si>
  <si>
    <t>selection</t>
  </si>
  <si>
    <t>[create] [autolayout]</t>
  </si>
  <si>
    <t>create autolayout</t>
  </si>
  <si>
    <t>update autolayout</t>
  </si>
  <si>
    <t>update vertical autolayout spacing</t>
  </si>
  <si>
    <t>[select] [design object] on [canvas] using [cursor]</t>
  </si>
  <si>
    <t>[mistake/redundant]</t>
  </si>
  <si>
    <t xml:space="preserve">[update] [gui input] to [value] </t>
  </si>
  <si>
    <t>[scroll] [gui panel] + [expand] [gui menu] + [click gui icon]</t>
  </si>
  <si>
    <t>update design object property</t>
  </si>
  <si>
    <t>update colour style</t>
  </si>
  <si>
    <t>[deep select] [design object] on [canvas] using [cursor]</t>
  </si>
  <si>
    <t>multi_input</t>
  </si>
  <si>
    <t>[expand] [gui menu] + [click] [gui icon]</t>
  </si>
  <si>
    <t>information revealing</t>
  </si>
  <si>
    <t>[zoom] in on [design object]</t>
  </si>
  <si>
    <t>[deep select] [text object] on [canvas] using [cursor]</t>
  </si>
  <si>
    <t>[update] [text object] with [keyboard]</t>
  </si>
  <si>
    <t>[deselect]</t>
  </si>
  <si>
    <t>[expand] [gui menu]</t>
  </si>
  <si>
    <t>mistake/redundant</t>
  </si>
  <si>
    <t>activate rectangle tool</t>
  </si>
  <si>
    <t>[drag] to [create] [design object] at [new position] on [canvas] using [cursor]</t>
  </si>
  <si>
    <t>creating design object</t>
  </si>
  <si>
    <t>creating rectangle</t>
  </si>
  <si>
    <t>resize design object</t>
  </si>
  <si>
    <t>update design object size</t>
  </si>
  <si>
    <t>update corner radius</t>
  </si>
  <si>
    <t>update autolayout layout</t>
  </si>
  <si>
    <t>[expand] [gui menu] + [scroll] [gui panel] + [click gui icon]</t>
  </si>
  <si>
    <t>update fill</t>
  </si>
  <si>
    <t>the hardest part of this action is that it is multistep and requires scrolling which is frustrating with voice</t>
  </si>
  <si>
    <t>[create] [design object] at [new position] on [canvas]</t>
  </si>
  <si>
    <t>actions</t>
  </si>
  <si>
    <t>tags</t>
  </si>
  <si>
    <t>intents</t>
  </si>
  <si>
    <t>[scroll] [gui panel]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</si>
</sst>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ptos Narrow"/>
    </font>
    <font>
      <u/>
      <sz val="11"/>
      <color theme="10"/>
      <name val="Calibri"/>
      <family val="2"/>
      <scheme val="minor"/>
    </font>
    <font>
      <sz val="12"/>
      <color theme="1"/>
      <name val="Aptos Narrow"/>
    </font>
    <font>
      <sz val="11"/>
      <color theme="1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1"/>
    <xf numFmtId="2" fontId="0" fillId="0" borderId="0" xfId="0" applyNumberForma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JkC4o1U5zgM&amp;list=PLfrBp-7QhDqtmJ8oAjYhP6PLQqwDI0z1S&amp;index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tabSelected="1" topLeftCell="J1" zoomScale="75" zoomScaleNormal="68" workbookViewId="0">
      <selection activeCell="U40" sqref="U40"/>
    </sheetView>
  </sheetViews>
  <sheetFormatPr baseColWidth="10" defaultColWidth="8.83203125" defaultRowHeight="15" x14ac:dyDescent="0.2"/>
  <cols>
    <col min="1" max="1" width="57.5" bestFit="1" customWidth="1"/>
    <col min="2" max="2" width="85.83203125" bestFit="1" customWidth="1"/>
    <col min="3" max="3" width="7.33203125" bestFit="1" customWidth="1"/>
    <col min="4" max="4" width="5.33203125" style="4" bestFit="1" customWidth="1"/>
    <col min="5" max="5" width="5.33203125" bestFit="1" customWidth="1"/>
    <col min="6" max="6" width="10.83203125" bestFit="1" customWidth="1"/>
    <col min="7" max="7" width="64.1640625" bestFit="1" customWidth="1"/>
    <col min="8" max="8" width="33" bestFit="1" customWidth="1"/>
    <col min="9" max="9" width="26.83203125" bestFit="1" customWidth="1"/>
    <col min="10" max="10" width="13.33203125" bestFit="1" customWidth="1"/>
    <col min="11" max="11" width="15" bestFit="1" customWidth="1"/>
    <col min="12" max="12" width="14.33203125" bestFit="1" customWidth="1"/>
    <col min="13" max="13" width="8.1640625" bestFit="1" customWidth="1"/>
    <col min="14" max="14" width="30.33203125" bestFit="1" customWidth="1"/>
    <col min="15" max="15" width="13.33203125" bestFit="1" customWidth="1"/>
    <col min="16" max="16" width="12.6640625" bestFit="1" customWidth="1"/>
    <col min="17" max="17" width="13" customWidth="1"/>
    <col min="18" max="18" width="21.83203125" style="4" bestFit="1" customWidth="1"/>
    <col min="19" max="19" width="22.6640625" bestFit="1" customWidth="1"/>
    <col min="20" max="20" width="17.6640625" bestFit="1" customWidth="1"/>
    <col min="21" max="21" width="99" bestFit="1" customWidth="1"/>
  </cols>
  <sheetData>
    <row r="1" spans="1:23" ht="16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spans="1:23" ht="16" customHeight="1" x14ac:dyDescent="0.2">
      <c r="A2" s="1" t="s">
        <v>21</v>
      </c>
      <c r="B2" s="3" t="s">
        <v>22</v>
      </c>
      <c r="C2" s="1">
        <v>1</v>
      </c>
      <c r="D2" s="5">
        <v>0.21</v>
      </c>
      <c r="E2" s="2">
        <f>D2</f>
        <v>0.21</v>
      </c>
      <c r="G2" s="1" t="s">
        <v>23</v>
      </c>
      <c r="H2" s="6" t="s">
        <v>24</v>
      </c>
      <c r="I2" s="1" t="s">
        <v>25</v>
      </c>
      <c r="J2" s="1"/>
      <c r="K2" s="1" t="s">
        <v>26</v>
      </c>
      <c r="L2" s="1"/>
      <c r="M2" s="1"/>
      <c r="N2" s="1"/>
      <c r="O2" s="1">
        <f t="shared" ref="O2:O33" si="0">(INT(D2)*60+(D2-INT(D2))*100)-(INT($D$2)*60+($D$2-INT($D$2))*100)</f>
        <v>0</v>
      </c>
      <c r="P2" s="1">
        <f t="shared" ref="P2:P33" si="1">(INT(E2)*60+(E2-INT(E2))*100)-(INT($D$2)*60+($D$2-INT($D$2))*100)</f>
        <v>0</v>
      </c>
      <c r="Q2" s="6">
        <f>P2-O2</f>
        <v>0</v>
      </c>
      <c r="R2" s="6" t="str">
        <f>IF(Q2=0,"&lt;1 second","&lt;"&amp;(ROUND(Q2,2)+1)&amp;" seconds")</f>
        <v>&lt;1 second</v>
      </c>
      <c r="S2" s="4">
        <f>Q2+1</f>
        <v>1</v>
      </c>
      <c r="T2">
        <f>Q2+0.5</f>
        <v>0.5</v>
      </c>
      <c r="U2" s="1" t="s">
        <v>27</v>
      </c>
      <c r="V2" s="6"/>
      <c r="W2" s="6"/>
    </row>
    <row r="3" spans="1:23" ht="16" customHeight="1" x14ac:dyDescent="0.2">
      <c r="A3" s="7"/>
      <c r="B3" s="7"/>
      <c r="C3" s="7"/>
      <c r="D3" s="5">
        <v>0.22</v>
      </c>
      <c r="E3" s="2">
        <f>D3</f>
        <v>0.22</v>
      </c>
      <c r="G3" s="7" t="s">
        <v>28</v>
      </c>
      <c r="H3" s="6" t="s">
        <v>29</v>
      </c>
      <c r="I3" s="7" t="s">
        <v>30</v>
      </c>
      <c r="J3" s="7"/>
      <c r="K3" s="7" t="s">
        <v>31</v>
      </c>
      <c r="L3" s="7"/>
      <c r="M3" s="6" t="s">
        <v>32</v>
      </c>
      <c r="N3" s="7" t="s">
        <v>33</v>
      </c>
      <c r="O3" s="1">
        <f t="shared" si="0"/>
        <v>1</v>
      </c>
      <c r="P3" s="1">
        <f t="shared" si="1"/>
        <v>1</v>
      </c>
      <c r="Q3" s="6">
        <f t="shared" ref="Q3:Q52" si="2">P3-O3</f>
        <v>0</v>
      </c>
      <c r="R3" s="6" t="str">
        <f t="shared" ref="R3:R52" si="3">IF(Q3=0,"&lt;1 second","&lt;"&amp;(ROUND(Q3,2)+1)&amp;" seconds")</f>
        <v>&lt;1 second</v>
      </c>
      <c r="S3" s="4">
        <f t="shared" ref="S3:S52" si="4">Q3+1</f>
        <v>1</v>
      </c>
      <c r="T3">
        <f t="shared" ref="T3:T52" si="5">Q3+0.5</f>
        <v>0.5</v>
      </c>
      <c r="U3" s="7"/>
      <c r="V3" s="6"/>
      <c r="W3" s="6"/>
    </row>
    <row r="4" spans="1:23" ht="16" customHeight="1" x14ac:dyDescent="0.2">
      <c r="A4" s="7"/>
      <c r="B4" s="7"/>
      <c r="C4" s="7"/>
      <c r="D4" s="5">
        <v>0.22</v>
      </c>
      <c r="E4" s="2">
        <f>D4</f>
        <v>0.22</v>
      </c>
      <c r="G4" s="7" t="s">
        <v>34</v>
      </c>
      <c r="H4" s="6" t="s">
        <v>35</v>
      </c>
      <c r="I4" s="1" t="s">
        <v>25</v>
      </c>
      <c r="J4" s="1"/>
      <c r="K4" s="7" t="s">
        <v>36</v>
      </c>
      <c r="L4" s="7"/>
      <c r="M4" s="7"/>
      <c r="N4" s="1"/>
      <c r="O4" s="1">
        <f t="shared" si="0"/>
        <v>1</v>
      </c>
      <c r="P4" s="1">
        <f t="shared" si="1"/>
        <v>1</v>
      </c>
      <c r="Q4" s="6">
        <f t="shared" si="2"/>
        <v>0</v>
      </c>
      <c r="R4" s="6" t="str">
        <f t="shared" si="3"/>
        <v>&lt;1 second</v>
      </c>
      <c r="S4" s="4">
        <f t="shared" si="4"/>
        <v>1</v>
      </c>
      <c r="T4">
        <f t="shared" si="5"/>
        <v>0.5</v>
      </c>
      <c r="U4" s="7"/>
      <c r="V4" s="6"/>
      <c r="W4" s="6"/>
    </row>
    <row r="5" spans="1:23" ht="16" customHeight="1" x14ac:dyDescent="0.2">
      <c r="A5" s="7"/>
      <c r="B5" s="7"/>
      <c r="C5" s="7"/>
      <c r="D5" s="5">
        <v>0.23</v>
      </c>
      <c r="E5" s="5">
        <f>D5</f>
        <v>0.23</v>
      </c>
      <c r="G5" s="7" t="s">
        <v>37</v>
      </c>
      <c r="H5" s="6" t="s">
        <v>35</v>
      </c>
      <c r="I5" s="7" t="s">
        <v>38</v>
      </c>
      <c r="J5" s="7"/>
      <c r="K5" s="7" t="s">
        <v>31</v>
      </c>
      <c r="L5" s="7"/>
      <c r="M5" s="7" t="s">
        <v>39</v>
      </c>
      <c r="O5" s="1">
        <f t="shared" si="0"/>
        <v>2</v>
      </c>
      <c r="P5" s="1">
        <f t="shared" si="1"/>
        <v>2</v>
      </c>
      <c r="Q5" s="6">
        <f t="shared" si="2"/>
        <v>0</v>
      </c>
      <c r="R5" s="6" t="str">
        <f t="shared" si="3"/>
        <v>&lt;1 second</v>
      </c>
      <c r="S5" s="4">
        <f t="shared" si="4"/>
        <v>1</v>
      </c>
      <c r="T5">
        <f t="shared" si="5"/>
        <v>0.5</v>
      </c>
      <c r="U5" s="7" t="s">
        <v>40</v>
      </c>
      <c r="V5" s="6"/>
      <c r="W5" s="6"/>
    </row>
    <row r="6" spans="1:23" ht="16" customHeight="1" x14ac:dyDescent="0.2">
      <c r="A6" s="7"/>
      <c r="B6" s="7"/>
      <c r="C6" s="7"/>
      <c r="D6" s="5">
        <v>0.23</v>
      </c>
      <c r="E6" s="5">
        <v>0.26</v>
      </c>
      <c r="G6" s="7" t="s">
        <v>41</v>
      </c>
      <c r="H6" s="6" t="s">
        <v>42</v>
      </c>
      <c r="I6" s="7" t="s">
        <v>43</v>
      </c>
      <c r="J6" s="7"/>
      <c r="K6" s="7" t="s">
        <v>44</v>
      </c>
      <c r="L6" s="7"/>
      <c r="M6" s="7" t="s">
        <v>39</v>
      </c>
      <c r="N6" s="7"/>
      <c r="O6" s="1">
        <f t="shared" si="0"/>
        <v>2</v>
      </c>
      <c r="P6" s="1">
        <f t="shared" si="1"/>
        <v>5</v>
      </c>
      <c r="Q6" s="6">
        <f t="shared" si="2"/>
        <v>3</v>
      </c>
      <c r="R6" s="6" t="str">
        <f t="shared" si="3"/>
        <v>&lt;4 seconds</v>
      </c>
      <c r="S6" s="4">
        <f t="shared" si="4"/>
        <v>4</v>
      </c>
      <c r="T6">
        <f t="shared" si="5"/>
        <v>3.5</v>
      </c>
      <c r="U6" s="7"/>
      <c r="V6" s="6"/>
      <c r="W6" s="6"/>
    </row>
    <row r="7" spans="1:23" ht="16" customHeight="1" x14ac:dyDescent="0.2">
      <c r="A7" s="7"/>
      <c r="B7" s="7"/>
      <c r="C7" s="7"/>
      <c r="D7" s="5">
        <v>0.26</v>
      </c>
      <c r="E7" s="5">
        <v>0.27</v>
      </c>
      <c r="G7" s="7" t="s">
        <v>45</v>
      </c>
      <c r="H7" s="6" t="s">
        <v>29</v>
      </c>
      <c r="I7" s="7" t="s">
        <v>46</v>
      </c>
      <c r="J7" s="7"/>
      <c r="K7" s="7" t="s">
        <v>31</v>
      </c>
      <c r="L7" s="7"/>
      <c r="M7" s="7" t="s">
        <v>32</v>
      </c>
      <c r="N7" s="7" t="s">
        <v>47</v>
      </c>
      <c r="O7" s="1">
        <f t="shared" si="0"/>
        <v>5</v>
      </c>
      <c r="P7" s="1">
        <f t="shared" si="1"/>
        <v>6</v>
      </c>
      <c r="Q7" s="6">
        <f t="shared" si="2"/>
        <v>1</v>
      </c>
      <c r="R7" s="6" t="str">
        <f t="shared" si="3"/>
        <v>&lt;2 seconds</v>
      </c>
      <c r="S7" s="4">
        <f t="shared" si="4"/>
        <v>2</v>
      </c>
      <c r="T7">
        <f t="shared" si="5"/>
        <v>1.5</v>
      </c>
      <c r="U7" s="7"/>
      <c r="V7" s="6"/>
      <c r="W7" s="6"/>
    </row>
    <row r="8" spans="1:23" ht="16" customHeight="1" x14ac:dyDescent="0.2">
      <c r="A8" s="7"/>
      <c r="B8" s="7"/>
      <c r="C8" s="7"/>
      <c r="D8" s="5">
        <v>0.27</v>
      </c>
      <c r="E8" s="5">
        <v>0.28000000000000003</v>
      </c>
      <c r="G8" s="7" t="s">
        <v>48</v>
      </c>
      <c r="H8" s="6" t="s">
        <v>42</v>
      </c>
      <c r="I8" s="7" t="s">
        <v>46</v>
      </c>
      <c r="J8" s="7"/>
      <c r="K8" s="7" t="s">
        <v>49</v>
      </c>
      <c r="L8" s="7"/>
      <c r="M8" s="7" t="s">
        <v>32</v>
      </c>
      <c r="N8" s="7" t="s">
        <v>50</v>
      </c>
      <c r="O8" s="1">
        <f t="shared" si="0"/>
        <v>6</v>
      </c>
      <c r="P8" s="1">
        <f t="shared" si="1"/>
        <v>7.0000000000000036</v>
      </c>
      <c r="Q8" s="6">
        <f t="shared" si="2"/>
        <v>1.0000000000000036</v>
      </c>
      <c r="R8" s="6" t="str">
        <f t="shared" si="3"/>
        <v>&lt;2 seconds</v>
      </c>
      <c r="S8" s="4">
        <f t="shared" si="4"/>
        <v>2.0000000000000036</v>
      </c>
      <c r="T8">
        <f t="shared" si="5"/>
        <v>1.5000000000000036</v>
      </c>
      <c r="U8" s="7"/>
      <c r="V8" s="6"/>
      <c r="W8" s="6"/>
    </row>
    <row r="9" spans="1:23" ht="16" customHeight="1" x14ac:dyDescent="0.2">
      <c r="A9" s="7"/>
      <c r="B9" s="7"/>
      <c r="C9" s="7"/>
      <c r="D9" s="5">
        <v>0.28999999999999998</v>
      </c>
      <c r="E9" s="5">
        <f>D9</f>
        <v>0.28999999999999998</v>
      </c>
      <c r="G9" s="7" t="s">
        <v>51</v>
      </c>
      <c r="H9" s="6" t="s">
        <v>24</v>
      </c>
      <c r="I9" s="7" t="s">
        <v>52</v>
      </c>
      <c r="J9" s="7"/>
      <c r="K9" s="7" t="s">
        <v>31</v>
      </c>
      <c r="L9" s="7"/>
      <c r="M9" s="7"/>
      <c r="N9" s="7"/>
      <c r="O9" s="1">
        <f t="shared" si="0"/>
        <v>7.9999999999999964</v>
      </c>
      <c r="P9" s="1">
        <f t="shared" si="1"/>
        <v>7.9999999999999964</v>
      </c>
      <c r="Q9" s="6">
        <f t="shared" si="2"/>
        <v>0</v>
      </c>
      <c r="R9" s="6" t="str">
        <f t="shared" si="3"/>
        <v>&lt;1 second</v>
      </c>
      <c r="S9" s="4">
        <f t="shared" si="4"/>
        <v>1</v>
      </c>
      <c r="T9">
        <f t="shared" si="5"/>
        <v>0.5</v>
      </c>
      <c r="U9" s="7"/>
      <c r="V9" s="6"/>
      <c r="W9" s="6"/>
    </row>
    <row r="10" spans="1:23" ht="16" customHeight="1" x14ac:dyDescent="0.2">
      <c r="A10" s="7"/>
      <c r="B10" s="7"/>
      <c r="C10" s="7"/>
      <c r="D10" s="5">
        <v>0.3</v>
      </c>
      <c r="E10" s="5">
        <v>0.33</v>
      </c>
      <c r="G10" s="7" t="s">
        <v>53</v>
      </c>
      <c r="H10" s="6" t="s">
        <v>42</v>
      </c>
      <c r="I10" s="7" t="s">
        <v>52</v>
      </c>
      <c r="J10" s="7"/>
      <c r="K10" s="7" t="s">
        <v>44</v>
      </c>
      <c r="L10" s="7"/>
      <c r="M10" s="7"/>
      <c r="N10" s="7"/>
      <c r="O10" s="1">
        <f t="shared" si="0"/>
        <v>9</v>
      </c>
      <c r="P10" s="1">
        <f t="shared" si="1"/>
        <v>12</v>
      </c>
      <c r="Q10" s="6">
        <f t="shared" si="2"/>
        <v>3</v>
      </c>
      <c r="R10" s="6" t="str">
        <f t="shared" si="3"/>
        <v>&lt;4 seconds</v>
      </c>
      <c r="S10" s="4">
        <f t="shared" si="4"/>
        <v>4</v>
      </c>
      <c r="T10">
        <f t="shared" si="5"/>
        <v>3.5</v>
      </c>
      <c r="U10" s="7" t="s">
        <v>54</v>
      </c>
      <c r="V10" s="6"/>
      <c r="W10" s="6"/>
    </row>
    <row r="11" spans="1:23" ht="16" customHeight="1" x14ac:dyDescent="0.2">
      <c r="A11" s="7"/>
      <c r="B11" s="7"/>
      <c r="C11" s="7"/>
      <c r="D11" s="5">
        <v>0.33</v>
      </c>
      <c r="E11" s="5">
        <v>0.34</v>
      </c>
      <c r="G11" s="7" t="s">
        <v>48</v>
      </c>
      <c r="H11" s="6" t="s">
        <v>42</v>
      </c>
      <c r="I11" s="7" t="s">
        <v>55</v>
      </c>
      <c r="J11" s="7"/>
      <c r="K11" s="7" t="s">
        <v>31</v>
      </c>
      <c r="L11" s="7"/>
      <c r="M11" s="7" t="s">
        <v>32</v>
      </c>
      <c r="N11" s="7" t="s">
        <v>56</v>
      </c>
      <c r="O11" s="1">
        <f t="shared" si="0"/>
        <v>12</v>
      </c>
      <c r="P11" s="1">
        <f t="shared" si="1"/>
        <v>13</v>
      </c>
      <c r="Q11" s="6">
        <f t="shared" si="2"/>
        <v>1</v>
      </c>
      <c r="R11" s="6" t="str">
        <f t="shared" si="3"/>
        <v>&lt;2 seconds</v>
      </c>
      <c r="S11" s="4">
        <f t="shared" si="4"/>
        <v>2</v>
      </c>
      <c r="T11">
        <f t="shared" si="5"/>
        <v>1.5</v>
      </c>
      <c r="U11" s="7"/>
      <c r="V11" s="6"/>
      <c r="W11" s="6"/>
    </row>
    <row r="12" spans="1:23" ht="16" customHeight="1" x14ac:dyDescent="0.2">
      <c r="A12" s="7"/>
      <c r="B12" s="7"/>
      <c r="C12" s="7"/>
      <c r="D12" s="5">
        <v>0.35</v>
      </c>
      <c r="E12" s="5">
        <f>D12</f>
        <v>0.35</v>
      </c>
      <c r="G12" s="7" t="s">
        <v>57</v>
      </c>
      <c r="H12" s="6" t="s">
        <v>42</v>
      </c>
      <c r="I12" s="7" t="s">
        <v>58</v>
      </c>
      <c r="J12" s="7"/>
      <c r="K12" s="7" t="s">
        <v>44</v>
      </c>
      <c r="L12" s="7"/>
      <c r="M12" s="7"/>
      <c r="N12" s="7"/>
      <c r="O12" s="1">
        <f t="shared" si="0"/>
        <v>14</v>
      </c>
      <c r="P12" s="1">
        <f t="shared" si="1"/>
        <v>14</v>
      </c>
      <c r="Q12" s="6">
        <f t="shared" si="2"/>
        <v>0</v>
      </c>
      <c r="R12" s="6" t="str">
        <f t="shared" si="3"/>
        <v>&lt;1 second</v>
      </c>
      <c r="S12" s="4">
        <f t="shared" si="4"/>
        <v>1</v>
      </c>
      <c r="T12">
        <f t="shared" si="5"/>
        <v>0.5</v>
      </c>
      <c r="U12" s="7"/>
      <c r="V12" s="6"/>
      <c r="W12" s="6"/>
    </row>
    <row r="13" spans="1:23" ht="16" customHeight="1" x14ac:dyDescent="0.2">
      <c r="A13" s="7"/>
      <c r="B13" s="7"/>
      <c r="C13" s="7"/>
      <c r="D13" s="5">
        <v>0.35</v>
      </c>
      <c r="E13" s="5">
        <f>D13</f>
        <v>0.35</v>
      </c>
      <c r="G13" s="7" t="s">
        <v>59</v>
      </c>
      <c r="H13" s="6" t="s">
        <v>24</v>
      </c>
      <c r="I13" s="7" t="s">
        <v>52</v>
      </c>
      <c r="J13" s="7"/>
      <c r="K13" s="7" t="s">
        <v>31</v>
      </c>
      <c r="L13" s="7"/>
      <c r="M13" s="7"/>
      <c r="N13" s="7"/>
      <c r="O13" s="1">
        <f t="shared" si="0"/>
        <v>14</v>
      </c>
      <c r="P13" s="1">
        <f t="shared" si="1"/>
        <v>14</v>
      </c>
      <c r="Q13" s="6">
        <f t="shared" si="2"/>
        <v>0</v>
      </c>
      <c r="R13" s="6" t="str">
        <f t="shared" si="3"/>
        <v>&lt;1 second</v>
      </c>
      <c r="S13" s="4">
        <f t="shared" si="4"/>
        <v>1</v>
      </c>
      <c r="T13">
        <f t="shared" si="5"/>
        <v>0.5</v>
      </c>
      <c r="U13" s="7"/>
      <c r="V13" s="6"/>
      <c r="W13" s="6"/>
    </row>
    <row r="14" spans="1:23" ht="16" customHeight="1" x14ac:dyDescent="0.2">
      <c r="A14" s="7"/>
      <c r="B14" s="7"/>
      <c r="C14" s="7"/>
      <c r="D14" s="5">
        <v>0.36</v>
      </c>
      <c r="E14" s="5">
        <f>D14</f>
        <v>0.36</v>
      </c>
      <c r="G14" s="7" t="s">
        <v>60</v>
      </c>
      <c r="H14" s="6" t="s">
        <v>24</v>
      </c>
      <c r="I14" s="7" t="s">
        <v>61</v>
      </c>
      <c r="J14" s="7"/>
      <c r="K14" s="7" t="s">
        <v>31</v>
      </c>
      <c r="L14" s="7"/>
      <c r="M14" s="7"/>
      <c r="N14" s="7"/>
      <c r="O14" s="1">
        <f t="shared" si="0"/>
        <v>15</v>
      </c>
      <c r="P14" s="1">
        <f t="shared" si="1"/>
        <v>15</v>
      </c>
      <c r="Q14" s="6">
        <f t="shared" si="2"/>
        <v>0</v>
      </c>
      <c r="R14" s="6" t="str">
        <f t="shared" si="3"/>
        <v>&lt;1 second</v>
      </c>
      <c r="S14" s="4">
        <f t="shared" si="4"/>
        <v>1</v>
      </c>
      <c r="T14">
        <f t="shared" si="5"/>
        <v>0.5</v>
      </c>
      <c r="U14" s="7"/>
      <c r="V14" s="6"/>
      <c r="W14" s="6"/>
    </row>
    <row r="15" spans="1:23" ht="16" customHeight="1" x14ac:dyDescent="0.2">
      <c r="A15" s="7"/>
      <c r="B15" s="7"/>
      <c r="C15" s="7"/>
      <c r="D15" s="5">
        <v>0.36</v>
      </c>
      <c r="E15" s="5">
        <f>D15</f>
        <v>0.36</v>
      </c>
      <c r="G15" s="7" t="s">
        <v>62</v>
      </c>
      <c r="H15" s="6" t="s">
        <v>42</v>
      </c>
      <c r="I15" s="7" t="s">
        <v>63</v>
      </c>
      <c r="J15" s="7"/>
      <c r="K15" s="7" t="s">
        <v>44</v>
      </c>
      <c r="L15" s="7"/>
      <c r="M15" s="7"/>
      <c r="N15" s="7"/>
      <c r="O15" s="1">
        <f t="shared" si="0"/>
        <v>15</v>
      </c>
      <c r="P15" s="1">
        <f t="shared" si="1"/>
        <v>15</v>
      </c>
      <c r="Q15" s="6">
        <f t="shared" si="2"/>
        <v>0</v>
      </c>
      <c r="R15" s="6" t="str">
        <f t="shared" si="3"/>
        <v>&lt;1 second</v>
      </c>
      <c r="S15" s="4">
        <f t="shared" si="4"/>
        <v>1</v>
      </c>
      <c r="T15">
        <f t="shared" si="5"/>
        <v>0.5</v>
      </c>
      <c r="U15" s="7"/>
      <c r="V15" s="6"/>
      <c r="W15" s="6"/>
    </row>
    <row r="16" spans="1:23" ht="16" customHeight="1" x14ac:dyDescent="0.2">
      <c r="A16" s="7"/>
      <c r="B16" s="7"/>
      <c r="C16" s="7"/>
      <c r="D16" s="5">
        <v>0.37</v>
      </c>
      <c r="E16" s="5">
        <f>D16</f>
        <v>0.37</v>
      </c>
      <c r="G16" s="7" t="s">
        <v>48</v>
      </c>
      <c r="H16" s="6" t="s">
        <v>42</v>
      </c>
      <c r="I16" s="7" t="s">
        <v>64</v>
      </c>
      <c r="J16" s="7"/>
      <c r="K16" s="7" t="s">
        <v>49</v>
      </c>
      <c r="L16" s="7"/>
      <c r="M16" s="7" t="s">
        <v>32</v>
      </c>
      <c r="N16" s="7" t="s">
        <v>65</v>
      </c>
      <c r="O16" s="1">
        <f t="shared" si="0"/>
        <v>16</v>
      </c>
      <c r="P16" s="1">
        <f t="shared" si="1"/>
        <v>16</v>
      </c>
      <c r="Q16" s="6">
        <f t="shared" si="2"/>
        <v>0</v>
      </c>
      <c r="R16" s="6" t="str">
        <f t="shared" si="3"/>
        <v>&lt;1 second</v>
      </c>
      <c r="S16" s="4">
        <f t="shared" si="4"/>
        <v>1</v>
      </c>
      <c r="T16">
        <f t="shared" si="5"/>
        <v>0.5</v>
      </c>
      <c r="U16" s="7"/>
      <c r="V16" s="6"/>
      <c r="W16" s="6"/>
    </row>
    <row r="17" spans="1:23" ht="16" customHeight="1" x14ac:dyDescent="0.2">
      <c r="A17" s="7"/>
      <c r="B17" s="7"/>
      <c r="C17" s="7"/>
      <c r="D17" s="5">
        <v>0.37</v>
      </c>
      <c r="E17" s="5">
        <v>0.38</v>
      </c>
      <c r="G17" s="7" t="s">
        <v>66</v>
      </c>
      <c r="H17" s="6" t="s">
        <v>35</v>
      </c>
      <c r="I17" s="7" t="s">
        <v>61</v>
      </c>
      <c r="J17" s="7"/>
      <c r="K17" s="7" t="s">
        <v>31</v>
      </c>
      <c r="L17" s="7"/>
      <c r="M17" s="7" t="s">
        <v>39</v>
      </c>
      <c r="N17" s="7"/>
      <c r="O17" s="1">
        <f t="shared" si="0"/>
        <v>16</v>
      </c>
      <c r="P17" s="1">
        <f t="shared" si="1"/>
        <v>17</v>
      </c>
      <c r="Q17" s="6">
        <f t="shared" si="2"/>
        <v>1</v>
      </c>
      <c r="R17" s="6" t="str">
        <f t="shared" si="3"/>
        <v>&lt;2 seconds</v>
      </c>
      <c r="S17" s="4">
        <f t="shared" si="4"/>
        <v>2</v>
      </c>
      <c r="T17">
        <f t="shared" si="5"/>
        <v>1.5</v>
      </c>
      <c r="U17" s="7"/>
      <c r="V17" s="6"/>
      <c r="W17" s="6"/>
    </row>
    <row r="18" spans="1:23" ht="16" customHeight="1" x14ac:dyDescent="0.2">
      <c r="A18" s="7"/>
      <c r="B18" s="7"/>
      <c r="C18" s="7"/>
      <c r="D18" s="5">
        <v>0.38</v>
      </c>
      <c r="E18" s="5">
        <f>D18</f>
        <v>0.38</v>
      </c>
      <c r="G18" s="7" t="s">
        <v>66</v>
      </c>
      <c r="H18" s="6" t="s">
        <v>35</v>
      </c>
      <c r="I18" s="7" t="s">
        <v>61</v>
      </c>
      <c r="J18" s="7"/>
      <c r="K18" s="7" t="s">
        <v>31</v>
      </c>
      <c r="L18" s="7"/>
      <c r="M18" s="7" t="s">
        <v>39</v>
      </c>
      <c r="N18" s="7"/>
      <c r="O18" s="1">
        <f t="shared" si="0"/>
        <v>17</v>
      </c>
      <c r="P18" s="1">
        <f t="shared" si="1"/>
        <v>17</v>
      </c>
      <c r="Q18" s="6">
        <f t="shared" si="2"/>
        <v>0</v>
      </c>
      <c r="R18" s="6" t="str">
        <f t="shared" si="3"/>
        <v>&lt;1 second</v>
      </c>
      <c r="S18" s="4">
        <f t="shared" si="4"/>
        <v>1</v>
      </c>
      <c r="T18">
        <f t="shared" si="5"/>
        <v>0.5</v>
      </c>
      <c r="U18" s="7"/>
      <c r="V18" s="6"/>
      <c r="W18" s="6"/>
    </row>
    <row r="19" spans="1:23" ht="16" customHeight="1" x14ac:dyDescent="0.2">
      <c r="A19" s="7"/>
      <c r="B19" s="7"/>
      <c r="C19" s="7"/>
      <c r="D19" s="5">
        <v>0.38</v>
      </c>
      <c r="E19" s="5">
        <v>0.39</v>
      </c>
      <c r="G19" s="7" t="s">
        <v>67</v>
      </c>
      <c r="H19" s="6"/>
      <c r="I19" s="7"/>
      <c r="J19" s="7"/>
      <c r="K19" s="7"/>
      <c r="L19" s="7"/>
      <c r="M19" s="7"/>
      <c r="N19" s="7"/>
      <c r="O19" s="1">
        <f t="shared" si="0"/>
        <v>17</v>
      </c>
      <c r="P19" s="1">
        <f t="shared" si="1"/>
        <v>18</v>
      </c>
      <c r="Q19" s="6">
        <f t="shared" si="2"/>
        <v>1</v>
      </c>
      <c r="R19" s="6" t="str">
        <f t="shared" si="3"/>
        <v>&lt;2 seconds</v>
      </c>
      <c r="S19" s="4">
        <f t="shared" si="4"/>
        <v>2</v>
      </c>
      <c r="T19">
        <f t="shared" si="5"/>
        <v>1.5</v>
      </c>
      <c r="U19" s="7"/>
      <c r="V19" s="6"/>
      <c r="W19" s="6"/>
    </row>
    <row r="20" spans="1:23" ht="16" customHeight="1" x14ac:dyDescent="0.2">
      <c r="A20" s="7"/>
      <c r="B20" s="7"/>
      <c r="C20" s="7"/>
      <c r="D20" s="5">
        <v>0.39</v>
      </c>
      <c r="E20" s="5">
        <v>0.4</v>
      </c>
      <c r="G20" s="7" t="s">
        <v>68</v>
      </c>
      <c r="H20" s="6" t="s">
        <v>42</v>
      </c>
      <c r="I20" s="7" t="s">
        <v>55</v>
      </c>
      <c r="J20" s="7"/>
      <c r="K20" s="7" t="s">
        <v>49</v>
      </c>
      <c r="L20" s="8"/>
      <c r="M20" s="7" t="s">
        <v>32</v>
      </c>
      <c r="N20" s="7" t="s">
        <v>56</v>
      </c>
      <c r="O20" s="1">
        <f t="shared" si="0"/>
        <v>18</v>
      </c>
      <c r="P20" s="1">
        <f t="shared" si="1"/>
        <v>19</v>
      </c>
      <c r="Q20" s="6">
        <f t="shared" si="2"/>
        <v>1</v>
      </c>
      <c r="R20" s="6" t="str">
        <f t="shared" si="3"/>
        <v>&lt;2 seconds</v>
      </c>
      <c r="S20" s="4">
        <f t="shared" si="4"/>
        <v>2</v>
      </c>
      <c r="T20">
        <f t="shared" si="5"/>
        <v>1.5</v>
      </c>
      <c r="U20" s="7"/>
      <c r="V20" s="6"/>
      <c r="W20" s="6"/>
    </row>
    <row r="21" spans="1:23" ht="16" customHeight="1" x14ac:dyDescent="0.2">
      <c r="A21" s="7"/>
      <c r="B21" s="7"/>
      <c r="C21" s="7"/>
      <c r="D21" s="5">
        <v>0.43</v>
      </c>
      <c r="E21" s="5">
        <v>0.43</v>
      </c>
      <c r="G21" s="7" t="s">
        <v>66</v>
      </c>
      <c r="H21" s="6" t="s">
        <v>35</v>
      </c>
      <c r="I21" s="7" t="s">
        <v>61</v>
      </c>
      <c r="J21" s="7"/>
      <c r="K21" s="7" t="s">
        <v>31</v>
      </c>
      <c r="L21" s="7"/>
      <c r="M21" s="7" t="s">
        <v>39</v>
      </c>
      <c r="N21" s="7"/>
      <c r="O21" s="1">
        <f t="shared" si="0"/>
        <v>22</v>
      </c>
      <c r="P21" s="1">
        <f t="shared" si="1"/>
        <v>22</v>
      </c>
      <c r="Q21" s="6">
        <f t="shared" si="2"/>
        <v>0</v>
      </c>
      <c r="R21" s="6" t="str">
        <f t="shared" si="3"/>
        <v>&lt;1 second</v>
      </c>
      <c r="S21" s="4">
        <f t="shared" si="4"/>
        <v>1</v>
      </c>
      <c r="T21">
        <f t="shared" si="5"/>
        <v>0.5</v>
      </c>
      <c r="U21" s="7"/>
      <c r="V21" s="6"/>
      <c r="W21" s="6"/>
    </row>
    <row r="22" spans="1:23" ht="16" customHeight="1" x14ac:dyDescent="0.2">
      <c r="A22" s="7"/>
      <c r="B22" s="7"/>
      <c r="C22" s="7"/>
      <c r="D22" s="5">
        <v>0.44</v>
      </c>
      <c r="E22" s="5">
        <v>0.46</v>
      </c>
      <c r="G22" s="7" t="s">
        <v>69</v>
      </c>
      <c r="H22" s="6" t="s">
        <v>42</v>
      </c>
      <c r="I22" s="7" t="s">
        <v>70</v>
      </c>
      <c r="J22" s="7"/>
      <c r="K22" s="7" t="s">
        <v>49</v>
      </c>
      <c r="L22" s="7"/>
      <c r="M22" s="7" t="s">
        <v>32</v>
      </c>
      <c r="N22" s="7" t="s">
        <v>71</v>
      </c>
      <c r="O22" s="1">
        <f t="shared" si="0"/>
        <v>23</v>
      </c>
      <c r="P22" s="1">
        <f t="shared" si="1"/>
        <v>25</v>
      </c>
      <c r="Q22" s="6">
        <f t="shared" si="2"/>
        <v>2</v>
      </c>
      <c r="R22" s="6" t="str">
        <f t="shared" si="3"/>
        <v>&lt;3 seconds</v>
      </c>
      <c r="S22" s="4">
        <f t="shared" si="4"/>
        <v>3</v>
      </c>
      <c r="T22">
        <f t="shared" si="5"/>
        <v>2.5</v>
      </c>
      <c r="U22" s="7"/>
      <c r="V22" s="6"/>
      <c r="W22" s="6"/>
    </row>
    <row r="23" spans="1:23" ht="16" customHeight="1" x14ac:dyDescent="0.2">
      <c r="A23" s="7"/>
      <c r="B23" s="7"/>
      <c r="C23" s="7"/>
      <c r="D23" s="5">
        <v>0.47</v>
      </c>
      <c r="E23" s="5">
        <f>D23</f>
        <v>0.47</v>
      </c>
      <c r="G23" s="7" t="s">
        <v>72</v>
      </c>
      <c r="H23" s="6" t="s">
        <v>24</v>
      </c>
      <c r="I23" s="7" t="s">
        <v>61</v>
      </c>
      <c r="J23" s="7"/>
      <c r="K23" s="7" t="s">
        <v>73</v>
      </c>
      <c r="L23" s="7"/>
      <c r="M23" s="7"/>
      <c r="N23" s="7"/>
      <c r="O23" s="1">
        <f t="shared" si="0"/>
        <v>26</v>
      </c>
      <c r="P23" s="1">
        <f t="shared" si="1"/>
        <v>26</v>
      </c>
      <c r="Q23" s="6">
        <f t="shared" si="2"/>
        <v>0</v>
      </c>
      <c r="R23" s="6" t="str">
        <f t="shared" si="3"/>
        <v>&lt;1 second</v>
      </c>
      <c r="S23" s="4">
        <f t="shared" si="4"/>
        <v>1</v>
      </c>
      <c r="T23">
        <f t="shared" si="5"/>
        <v>0.5</v>
      </c>
      <c r="U23" s="7"/>
      <c r="V23" s="6"/>
      <c r="W23" s="6"/>
    </row>
    <row r="24" spans="1:23" ht="16" customHeight="1" x14ac:dyDescent="0.2">
      <c r="A24" s="7"/>
      <c r="B24" s="7"/>
      <c r="C24" s="7"/>
      <c r="D24" s="5">
        <v>0.47</v>
      </c>
      <c r="E24" s="5">
        <v>0.48</v>
      </c>
      <c r="G24" s="7" t="s">
        <v>74</v>
      </c>
      <c r="H24" s="6" t="s">
        <v>42</v>
      </c>
      <c r="I24" s="7" t="s">
        <v>75</v>
      </c>
      <c r="J24" s="7"/>
      <c r="K24" s="7" t="s">
        <v>49</v>
      </c>
      <c r="L24" s="7"/>
      <c r="M24" s="7" t="s">
        <v>32</v>
      </c>
      <c r="N24" s="7" t="s">
        <v>71</v>
      </c>
      <c r="O24" s="1">
        <f t="shared" si="0"/>
        <v>26</v>
      </c>
      <c r="P24" s="1">
        <f t="shared" si="1"/>
        <v>27</v>
      </c>
      <c r="Q24" s="6">
        <f t="shared" si="2"/>
        <v>1</v>
      </c>
      <c r="R24" s="6" t="str">
        <f t="shared" si="3"/>
        <v>&lt;2 seconds</v>
      </c>
      <c r="S24" s="4">
        <f t="shared" si="4"/>
        <v>2</v>
      </c>
      <c r="T24">
        <f t="shared" si="5"/>
        <v>1.5</v>
      </c>
      <c r="U24" s="7"/>
      <c r="V24" s="6"/>
      <c r="W24" s="6"/>
    </row>
    <row r="25" spans="1:23" ht="16" customHeight="1" x14ac:dyDescent="0.2">
      <c r="A25" s="7"/>
      <c r="B25" s="7"/>
      <c r="C25" s="7"/>
      <c r="D25" s="5">
        <v>0.48</v>
      </c>
      <c r="E25" s="5">
        <f>D25</f>
        <v>0.48</v>
      </c>
      <c r="G25" s="7" t="s">
        <v>76</v>
      </c>
      <c r="H25" s="6" t="s">
        <v>24</v>
      </c>
      <c r="I25" s="7" t="s">
        <v>25</v>
      </c>
      <c r="J25" s="7"/>
      <c r="K25" s="7" t="s">
        <v>36</v>
      </c>
      <c r="L25" s="7"/>
      <c r="M25" s="7"/>
      <c r="N25" s="7"/>
      <c r="O25" s="1">
        <f t="shared" si="0"/>
        <v>27</v>
      </c>
      <c r="P25" s="1">
        <f t="shared" si="1"/>
        <v>27</v>
      </c>
      <c r="Q25" s="6">
        <f t="shared" si="2"/>
        <v>0</v>
      </c>
      <c r="R25" s="6" t="str">
        <f t="shared" si="3"/>
        <v>&lt;1 second</v>
      </c>
      <c r="S25" s="4">
        <f t="shared" si="4"/>
        <v>1</v>
      </c>
      <c r="T25">
        <f t="shared" si="5"/>
        <v>0.5</v>
      </c>
      <c r="U25" s="7"/>
      <c r="V25" s="6"/>
      <c r="W25" s="6"/>
    </row>
    <row r="26" spans="1:23" ht="16" customHeight="1" x14ac:dyDescent="0.2">
      <c r="A26" s="7"/>
      <c r="B26" s="7"/>
      <c r="C26" s="7"/>
      <c r="D26" s="5">
        <v>0.48</v>
      </c>
      <c r="E26" s="5">
        <f>D26</f>
        <v>0.48</v>
      </c>
      <c r="G26" s="7" t="s">
        <v>77</v>
      </c>
      <c r="H26" s="6" t="s">
        <v>24</v>
      </c>
      <c r="I26" s="7" t="s">
        <v>61</v>
      </c>
      <c r="J26" s="7"/>
      <c r="K26" s="7" t="s">
        <v>31</v>
      </c>
      <c r="L26" s="7"/>
      <c r="M26" s="7"/>
      <c r="N26" s="7"/>
      <c r="O26" s="1">
        <f t="shared" si="0"/>
        <v>27</v>
      </c>
      <c r="P26" s="1">
        <f t="shared" si="1"/>
        <v>27</v>
      </c>
      <c r="Q26" s="6">
        <f t="shared" si="2"/>
        <v>0</v>
      </c>
      <c r="R26" s="6" t="str">
        <f t="shared" si="3"/>
        <v>&lt;1 second</v>
      </c>
      <c r="S26" s="4">
        <f t="shared" si="4"/>
        <v>1</v>
      </c>
      <c r="T26">
        <f t="shared" si="5"/>
        <v>0.5</v>
      </c>
      <c r="U26" s="7"/>
      <c r="V26" s="6"/>
      <c r="W26" s="6"/>
    </row>
    <row r="27" spans="1:23" ht="16" customHeight="1" x14ac:dyDescent="0.2">
      <c r="A27" s="7"/>
      <c r="B27" s="7"/>
      <c r="C27" s="7"/>
      <c r="D27" s="5">
        <v>0.49</v>
      </c>
      <c r="E27" s="5">
        <v>0.55000000000000004</v>
      </c>
      <c r="G27" s="7" t="s">
        <v>78</v>
      </c>
      <c r="H27" s="6" t="s">
        <v>42</v>
      </c>
      <c r="I27" s="7" t="s">
        <v>43</v>
      </c>
      <c r="J27" s="7"/>
      <c r="K27" s="7" t="s">
        <v>44</v>
      </c>
      <c r="L27" s="7"/>
      <c r="M27" s="7"/>
      <c r="N27" s="7"/>
      <c r="O27" s="1">
        <f t="shared" si="0"/>
        <v>28</v>
      </c>
      <c r="P27" s="1">
        <f t="shared" si="1"/>
        <v>34.000000000000007</v>
      </c>
      <c r="Q27" s="6">
        <f t="shared" si="2"/>
        <v>6.0000000000000071</v>
      </c>
      <c r="R27" s="6" t="str">
        <f t="shared" si="3"/>
        <v>&lt;7 seconds</v>
      </c>
      <c r="S27" s="4">
        <f t="shared" si="4"/>
        <v>7.0000000000000071</v>
      </c>
      <c r="T27">
        <f t="shared" si="5"/>
        <v>6.5000000000000071</v>
      </c>
      <c r="U27" s="7"/>
      <c r="V27" s="6"/>
      <c r="W27" s="6"/>
    </row>
    <row r="28" spans="1:23" ht="16" customHeight="1" x14ac:dyDescent="0.2">
      <c r="A28" s="7"/>
      <c r="B28" s="7"/>
      <c r="C28" s="7"/>
      <c r="D28" s="5">
        <v>0.56000000000000005</v>
      </c>
      <c r="E28" s="5">
        <f>D28</f>
        <v>0.56000000000000005</v>
      </c>
      <c r="G28" s="7" t="s">
        <v>77</v>
      </c>
      <c r="H28" s="6" t="s">
        <v>24</v>
      </c>
      <c r="I28" s="7" t="s">
        <v>61</v>
      </c>
      <c r="J28" s="7"/>
      <c r="K28" s="7" t="s">
        <v>31</v>
      </c>
      <c r="L28" s="7"/>
      <c r="M28" s="7"/>
      <c r="N28" s="7"/>
      <c r="O28" s="1">
        <f t="shared" si="0"/>
        <v>35.000000000000007</v>
      </c>
      <c r="P28" s="1">
        <f t="shared" si="1"/>
        <v>35.000000000000007</v>
      </c>
      <c r="Q28" s="6">
        <f t="shared" si="2"/>
        <v>0</v>
      </c>
      <c r="R28" s="6" t="str">
        <f t="shared" si="3"/>
        <v>&lt;1 second</v>
      </c>
      <c r="S28" s="4">
        <f t="shared" si="4"/>
        <v>1</v>
      </c>
      <c r="T28">
        <f t="shared" si="5"/>
        <v>0.5</v>
      </c>
      <c r="U28" s="7"/>
      <c r="V28" s="6"/>
      <c r="W28" s="6"/>
    </row>
    <row r="29" spans="1:23" ht="16" customHeight="1" x14ac:dyDescent="0.2">
      <c r="A29" s="7"/>
      <c r="B29" s="7"/>
      <c r="C29" s="7"/>
      <c r="D29" s="5">
        <v>0.56000000000000005</v>
      </c>
      <c r="E29" s="5">
        <v>0.57999999999999996</v>
      </c>
      <c r="G29" s="7" t="s">
        <v>78</v>
      </c>
      <c r="H29" s="6" t="s">
        <v>42</v>
      </c>
      <c r="I29" s="7" t="s">
        <v>43</v>
      </c>
      <c r="J29" s="7"/>
      <c r="K29" s="7" t="s">
        <v>44</v>
      </c>
      <c r="L29" s="7"/>
      <c r="M29" s="7"/>
      <c r="N29" s="7"/>
      <c r="O29" s="1">
        <f t="shared" si="0"/>
        <v>35.000000000000007</v>
      </c>
      <c r="P29" s="1">
        <f t="shared" si="1"/>
        <v>36.999999999999993</v>
      </c>
      <c r="Q29" s="6">
        <f t="shared" si="2"/>
        <v>1.9999999999999858</v>
      </c>
      <c r="R29" s="6" t="str">
        <f t="shared" si="3"/>
        <v>&lt;3 seconds</v>
      </c>
      <c r="S29" s="4">
        <f t="shared" si="4"/>
        <v>2.9999999999999858</v>
      </c>
      <c r="T29">
        <f t="shared" si="5"/>
        <v>2.4999999999999858</v>
      </c>
      <c r="U29" s="7"/>
      <c r="V29" s="6"/>
      <c r="W29" s="6"/>
    </row>
    <row r="30" spans="1:23" ht="16" customHeight="1" x14ac:dyDescent="0.2">
      <c r="A30" s="7"/>
      <c r="B30" s="7"/>
      <c r="C30" s="7"/>
      <c r="D30" s="5">
        <v>0.59</v>
      </c>
      <c r="E30" s="2">
        <f>D30</f>
        <v>0.59</v>
      </c>
      <c r="G30" s="1" t="s">
        <v>79</v>
      </c>
      <c r="H30" s="6" t="s">
        <v>29</v>
      </c>
      <c r="I30" s="7" t="s">
        <v>61</v>
      </c>
      <c r="J30" s="7"/>
      <c r="K30" s="7" t="s">
        <v>31</v>
      </c>
      <c r="L30" s="7"/>
      <c r="M30" s="7"/>
      <c r="N30" s="7"/>
      <c r="O30" s="1">
        <f t="shared" si="0"/>
        <v>38</v>
      </c>
      <c r="P30" s="1">
        <f t="shared" si="1"/>
        <v>38</v>
      </c>
      <c r="Q30" s="6">
        <f t="shared" si="2"/>
        <v>0</v>
      </c>
      <c r="R30" s="6" t="str">
        <f t="shared" si="3"/>
        <v>&lt;1 second</v>
      </c>
      <c r="S30" s="4">
        <f t="shared" si="4"/>
        <v>1</v>
      </c>
      <c r="T30">
        <f t="shared" si="5"/>
        <v>0.5</v>
      </c>
      <c r="U30" s="1"/>
      <c r="V30" s="6"/>
      <c r="W30" s="6"/>
    </row>
    <row r="31" spans="1:23" ht="16" customHeight="1" x14ac:dyDescent="0.2">
      <c r="A31" s="7"/>
      <c r="B31" s="7"/>
      <c r="C31" s="7"/>
      <c r="D31" s="5">
        <v>0.59</v>
      </c>
      <c r="E31" s="2">
        <f>D31</f>
        <v>0.59</v>
      </c>
      <c r="G31" s="7" t="s">
        <v>23</v>
      </c>
      <c r="H31" s="6" t="s">
        <v>24</v>
      </c>
      <c r="I31" s="7" t="s">
        <v>25</v>
      </c>
      <c r="J31" s="7"/>
      <c r="K31" s="7" t="s">
        <v>26</v>
      </c>
      <c r="L31" s="7"/>
      <c r="M31" s="7"/>
      <c r="N31" s="7"/>
      <c r="O31" s="1">
        <f t="shared" si="0"/>
        <v>38</v>
      </c>
      <c r="P31" s="1">
        <f t="shared" si="1"/>
        <v>38</v>
      </c>
      <c r="Q31" s="6">
        <f t="shared" si="2"/>
        <v>0</v>
      </c>
      <c r="R31" s="6" t="str">
        <f t="shared" si="3"/>
        <v>&lt;1 second</v>
      </c>
      <c r="S31" s="4">
        <f t="shared" si="4"/>
        <v>1</v>
      </c>
      <c r="T31">
        <f t="shared" si="5"/>
        <v>0.5</v>
      </c>
      <c r="U31" s="7"/>
      <c r="V31" s="6"/>
      <c r="W31" s="6"/>
    </row>
    <row r="32" spans="1:23" ht="16" customHeight="1" x14ac:dyDescent="0.2">
      <c r="A32" s="7"/>
      <c r="B32" s="7"/>
      <c r="C32" s="7"/>
      <c r="D32" s="5">
        <v>1</v>
      </c>
      <c r="E32" s="2">
        <f>D32</f>
        <v>1</v>
      </c>
      <c r="G32" s="7" t="s">
        <v>66</v>
      </c>
      <c r="H32" s="6" t="s">
        <v>35</v>
      </c>
      <c r="I32" s="7" t="s">
        <v>61</v>
      </c>
      <c r="J32" s="7"/>
      <c r="K32" s="7" t="s">
        <v>31</v>
      </c>
      <c r="L32" s="7"/>
      <c r="M32" s="7"/>
      <c r="N32" s="7"/>
      <c r="O32" s="1">
        <f t="shared" si="0"/>
        <v>39</v>
      </c>
      <c r="P32" s="1">
        <f t="shared" si="1"/>
        <v>39</v>
      </c>
      <c r="Q32" s="6">
        <f t="shared" si="2"/>
        <v>0</v>
      </c>
      <c r="R32" s="6" t="str">
        <f t="shared" si="3"/>
        <v>&lt;1 second</v>
      </c>
      <c r="S32" s="4">
        <f t="shared" si="4"/>
        <v>1</v>
      </c>
      <c r="T32">
        <f t="shared" si="5"/>
        <v>0.5</v>
      </c>
      <c r="U32" s="7"/>
      <c r="V32" s="6"/>
      <c r="W32" s="6"/>
    </row>
    <row r="33" spans="1:23" ht="16" customHeight="1" x14ac:dyDescent="0.2">
      <c r="A33" s="7"/>
      <c r="B33" s="7"/>
      <c r="C33" s="7"/>
      <c r="D33" s="5">
        <v>1</v>
      </c>
      <c r="E33" s="2">
        <v>1.01</v>
      </c>
      <c r="G33" s="7" t="s">
        <v>53</v>
      </c>
      <c r="H33" s="6" t="s">
        <v>42</v>
      </c>
      <c r="I33" s="7" t="s">
        <v>52</v>
      </c>
      <c r="J33" s="7"/>
      <c r="K33" s="7" t="s">
        <v>44</v>
      </c>
      <c r="L33" s="7"/>
      <c r="M33" s="7"/>
      <c r="N33" s="7"/>
      <c r="O33" s="1">
        <f t="shared" si="0"/>
        <v>39</v>
      </c>
      <c r="P33" s="1">
        <f t="shared" si="1"/>
        <v>40</v>
      </c>
      <c r="Q33" s="6">
        <f t="shared" si="2"/>
        <v>1</v>
      </c>
      <c r="R33" s="6" t="str">
        <f t="shared" si="3"/>
        <v>&lt;2 seconds</v>
      </c>
      <c r="S33" s="4">
        <f t="shared" si="4"/>
        <v>2</v>
      </c>
      <c r="T33">
        <f t="shared" si="5"/>
        <v>1.5</v>
      </c>
      <c r="U33" s="7"/>
      <c r="V33" s="6"/>
      <c r="W33" s="6"/>
    </row>
    <row r="34" spans="1:23" ht="16" customHeight="1" x14ac:dyDescent="0.2">
      <c r="A34" s="7"/>
      <c r="B34" s="7"/>
      <c r="C34" s="7"/>
      <c r="D34" s="5">
        <v>1.01</v>
      </c>
      <c r="E34" s="2">
        <f>D34</f>
        <v>1.01</v>
      </c>
      <c r="G34" s="7" t="s">
        <v>79</v>
      </c>
      <c r="H34" s="6" t="s">
        <v>29</v>
      </c>
      <c r="I34" s="7" t="s">
        <v>61</v>
      </c>
      <c r="J34" s="7"/>
      <c r="K34" s="7" t="s">
        <v>31</v>
      </c>
      <c r="L34" s="7"/>
      <c r="M34" s="7"/>
      <c r="N34" s="7"/>
      <c r="O34" s="1">
        <f t="shared" ref="O34:O52" si="6">(INT(D34)*60+(D34-INT(D34))*100)-(INT($D$2)*60+($D$2-INT($D$2))*100)</f>
        <v>40</v>
      </c>
      <c r="P34" s="1">
        <f t="shared" ref="P34:P52" si="7">(INT(E34)*60+(E34-INT(E34))*100)-(INT($D$2)*60+($D$2-INT($D$2))*100)</f>
        <v>40</v>
      </c>
      <c r="Q34" s="6">
        <f t="shared" si="2"/>
        <v>0</v>
      </c>
      <c r="R34" s="6" t="str">
        <f t="shared" si="3"/>
        <v>&lt;1 second</v>
      </c>
      <c r="S34" s="4">
        <f t="shared" si="4"/>
        <v>1</v>
      </c>
      <c r="T34">
        <f t="shared" si="5"/>
        <v>0.5</v>
      </c>
      <c r="U34" s="7"/>
      <c r="V34" s="6"/>
      <c r="W34" s="6"/>
    </row>
    <row r="35" spans="1:23" ht="16" customHeight="1" x14ac:dyDescent="0.2">
      <c r="A35" s="7"/>
      <c r="B35" s="7"/>
      <c r="C35" s="7"/>
      <c r="D35" s="5">
        <v>1.02</v>
      </c>
      <c r="E35" s="2">
        <f>D35</f>
        <v>1.02</v>
      </c>
      <c r="G35" s="7" t="s">
        <v>80</v>
      </c>
      <c r="H35" s="6" t="s">
        <v>29</v>
      </c>
      <c r="I35" s="7" t="s">
        <v>75</v>
      </c>
      <c r="J35" s="7"/>
      <c r="K35" s="7" t="s">
        <v>31</v>
      </c>
      <c r="L35" s="7"/>
      <c r="M35" s="7" t="s">
        <v>32</v>
      </c>
      <c r="N35" s="7"/>
      <c r="O35" s="1">
        <f t="shared" si="6"/>
        <v>41</v>
      </c>
      <c r="P35" s="1">
        <f t="shared" si="7"/>
        <v>41</v>
      </c>
      <c r="Q35" s="6">
        <f t="shared" si="2"/>
        <v>0</v>
      </c>
      <c r="R35" s="6" t="str">
        <f t="shared" si="3"/>
        <v>&lt;1 second</v>
      </c>
      <c r="S35" s="4">
        <f t="shared" si="4"/>
        <v>1</v>
      </c>
      <c r="T35">
        <f t="shared" si="5"/>
        <v>0.5</v>
      </c>
      <c r="U35" s="7" t="s">
        <v>81</v>
      </c>
      <c r="V35" s="6"/>
      <c r="W35" s="6"/>
    </row>
    <row r="36" spans="1:23" ht="16" customHeight="1" x14ac:dyDescent="0.2">
      <c r="A36" s="7"/>
      <c r="B36" s="7"/>
      <c r="C36" s="7"/>
      <c r="D36" s="5">
        <v>1.02</v>
      </c>
      <c r="E36" s="2">
        <f>D36</f>
        <v>1.02</v>
      </c>
      <c r="G36" s="7" t="s">
        <v>28</v>
      </c>
      <c r="H36" s="6" t="s">
        <v>29</v>
      </c>
      <c r="I36" s="7" t="s">
        <v>30</v>
      </c>
      <c r="J36" s="7"/>
      <c r="K36" s="7" t="s">
        <v>31</v>
      </c>
      <c r="L36" s="7"/>
      <c r="M36" s="7" t="s">
        <v>32</v>
      </c>
      <c r="N36" s="7" t="s">
        <v>82</v>
      </c>
      <c r="O36" s="1">
        <f t="shared" si="6"/>
        <v>41</v>
      </c>
      <c r="P36" s="1">
        <f t="shared" si="7"/>
        <v>41</v>
      </c>
      <c r="Q36" s="6">
        <f t="shared" si="2"/>
        <v>0</v>
      </c>
      <c r="R36" s="6" t="str">
        <f t="shared" si="3"/>
        <v>&lt;1 second</v>
      </c>
      <c r="S36" s="4">
        <f t="shared" si="4"/>
        <v>1</v>
      </c>
      <c r="T36">
        <f t="shared" si="5"/>
        <v>0.5</v>
      </c>
      <c r="U36" s="7"/>
      <c r="V36" s="6"/>
      <c r="W36" s="6"/>
    </row>
    <row r="37" spans="1:23" ht="16" customHeight="1" x14ac:dyDescent="0.2">
      <c r="A37" s="7"/>
      <c r="B37" s="7"/>
      <c r="C37" s="7"/>
      <c r="D37" s="5">
        <v>1.02</v>
      </c>
      <c r="E37" s="2">
        <v>1.03</v>
      </c>
      <c r="G37" s="7" t="s">
        <v>23</v>
      </c>
      <c r="H37" s="6" t="s">
        <v>24</v>
      </c>
      <c r="I37" s="7" t="s">
        <v>25</v>
      </c>
      <c r="J37" s="7"/>
      <c r="K37" s="7" t="s">
        <v>26</v>
      </c>
      <c r="L37" s="7"/>
      <c r="M37" s="7"/>
      <c r="N37" s="7"/>
      <c r="O37" s="1">
        <f t="shared" si="6"/>
        <v>41</v>
      </c>
      <c r="P37" s="1">
        <f t="shared" si="7"/>
        <v>42</v>
      </c>
      <c r="Q37" s="6">
        <f t="shared" si="2"/>
        <v>1</v>
      </c>
      <c r="R37" s="6" t="str">
        <f t="shared" si="3"/>
        <v>&lt;2 seconds</v>
      </c>
      <c r="S37" s="4">
        <f t="shared" si="4"/>
        <v>2</v>
      </c>
      <c r="T37">
        <f t="shared" si="5"/>
        <v>1.5</v>
      </c>
      <c r="U37" s="7"/>
      <c r="V37" s="6"/>
      <c r="W37" s="6"/>
    </row>
    <row r="38" spans="1:23" ht="16" customHeight="1" x14ac:dyDescent="0.2">
      <c r="A38" s="7"/>
      <c r="B38" s="7"/>
      <c r="C38" s="7"/>
      <c r="D38" s="5">
        <v>1.03</v>
      </c>
      <c r="E38" s="2">
        <f>D38</f>
        <v>1.03</v>
      </c>
      <c r="G38" s="7" t="s">
        <v>83</v>
      </c>
      <c r="H38" s="6" t="s">
        <v>24</v>
      </c>
      <c r="I38" s="7" t="s">
        <v>84</v>
      </c>
      <c r="J38" s="7"/>
      <c r="K38" s="7" t="s">
        <v>31</v>
      </c>
      <c r="L38" s="7"/>
      <c r="M38" s="7"/>
      <c r="N38" s="7" t="s">
        <v>85</v>
      </c>
      <c r="O38" s="1">
        <f t="shared" si="6"/>
        <v>42</v>
      </c>
      <c r="P38" s="1">
        <f t="shared" si="7"/>
        <v>42</v>
      </c>
      <c r="Q38" s="6">
        <f t="shared" si="2"/>
        <v>0</v>
      </c>
      <c r="R38" s="6" t="str">
        <f t="shared" si="3"/>
        <v>&lt;1 second</v>
      </c>
      <c r="S38" s="4">
        <f t="shared" si="4"/>
        <v>1</v>
      </c>
      <c r="T38">
        <f t="shared" si="5"/>
        <v>0.5</v>
      </c>
      <c r="U38" s="7"/>
      <c r="V38" s="6"/>
      <c r="W38" s="6"/>
    </row>
    <row r="39" spans="1:23" ht="16" customHeight="1" x14ac:dyDescent="0.2">
      <c r="A39" s="7"/>
      <c r="B39" s="7"/>
      <c r="C39" s="7"/>
      <c r="D39" s="5">
        <v>1.03</v>
      </c>
      <c r="E39" s="2">
        <v>1.05</v>
      </c>
      <c r="G39" s="7" t="s">
        <v>68</v>
      </c>
      <c r="H39" s="6" t="s">
        <v>42</v>
      </c>
      <c r="I39" s="7" t="s">
        <v>86</v>
      </c>
      <c r="J39" s="7"/>
      <c r="K39" s="7" t="s">
        <v>31</v>
      </c>
      <c r="L39" s="7"/>
      <c r="M39" s="7" t="s">
        <v>32</v>
      </c>
      <c r="N39" s="7" t="s">
        <v>87</v>
      </c>
      <c r="O39" s="1">
        <f t="shared" si="6"/>
        <v>42</v>
      </c>
      <c r="P39" s="1">
        <f t="shared" si="7"/>
        <v>44</v>
      </c>
      <c r="Q39" s="6">
        <f t="shared" si="2"/>
        <v>2</v>
      </c>
      <c r="R39" s="6" t="str">
        <f t="shared" si="3"/>
        <v>&lt;3 seconds</v>
      </c>
      <c r="S39" s="4">
        <f t="shared" si="4"/>
        <v>3</v>
      </c>
      <c r="T39">
        <f t="shared" si="5"/>
        <v>2.5</v>
      </c>
      <c r="U39" s="7"/>
      <c r="V39" s="6"/>
      <c r="W39" s="6"/>
    </row>
    <row r="40" spans="1:23" ht="16" customHeight="1" x14ac:dyDescent="0.2">
      <c r="A40" s="7"/>
      <c r="B40" s="7"/>
      <c r="C40" s="7"/>
      <c r="D40" s="5">
        <v>1.06</v>
      </c>
      <c r="E40" s="2">
        <v>1.08</v>
      </c>
      <c r="G40" s="7" t="s">
        <v>68</v>
      </c>
      <c r="H40" s="6" t="s">
        <v>42</v>
      </c>
      <c r="I40" s="7" t="s">
        <v>70</v>
      </c>
      <c r="J40" s="7"/>
      <c r="K40" s="7" t="s">
        <v>31</v>
      </c>
      <c r="L40" s="7"/>
      <c r="M40" s="7" t="s">
        <v>32</v>
      </c>
      <c r="N40" s="7" t="s">
        <v>88</v>
      </c>
      <c r="O40" s="1">
        <f t="shared" si="6"/>
        <v>45</v>
      </c>
      <c r="P40" s="1">
        <f t="shared" si="7"/>
        <v>47</v>
      </c>
      <c r="Q40" s="6">
        <f t="shared" si="2"/>
        <v>2</v>
      </c>
      <c r="R40" s="6" t="str">
        <f t="shared" si="3"/>
        <v>&lt;3 seconds</v>
      </c>
      <c r="S40" s="4">
        <f t="shared" si="4"/>
        <v>3</v>
      </c>
      <c r="T40">
        <f t="shared" si="5"/>
        <v>2.5</v>
      </c>
      <c r="U40" s="7"/>
      <c r="V40" s="6"/>
      <c r="W40" s="6"/>
    </row>
    <row r="41" spans="1:23" ht="16" customHeight="1" x14ac:dyDescent="0.2">
      <c r="A41" s="7"/>
      <c r="B41" s="7"/>
      <c r="C41" s="7"/>
      <c r="D41" s="5">
        <v>1.08</v>
      </c>
      <c r="E41" s="2">
        <v>1.0900000000000001</v>
      </c>
      <c r="G41" s="7" t="s">
        <v>51</v>
      </c>
      <c r="H41" s="6" t="s">
        <v>24</v>
      </c>
      <c r="I41" s="7" t="s">
        <v>52</v>
      </c>
      <c r="J41" s="7"/>
      <c r="K41" s="7" t="s">
        <v>31</v>
      </c>
      <c r="L41" s="7"/>
      <c r="M41" s="7"/>
      <c r="N41" s="7"/>
      <c r="O41" s="1">
        <f t="shared" si="6"/>
        <v>47</v>
      </c>
      <c r="P41" s="1">
        <f t="shared" si="7"/>
        <v>48</v>
      </c>
      <c r="Q41" s="6">
        <f t="shared" si="2"/>
        <v>1</v>
      </c>
      <c r="R41" s="6" t="str">
        <f t="shared" si="3"/>
        <v>&lt;2 seconds</v>
      </c>
      <c r="S41" s="4">
        <f t="shared" si="4"/>
        <v>2</v>
      </c>
      <c r="T41">
        <f t="shared" si="5"/>
        <v>1.5</v>
      </c>
      <c r="U41" s="7"/>
      <c r="V41" s="6"/>
      <c r="W41" s="6"/>
    </row>
    <row r="42" spans="1:23" ht="16" customHeight="1" x14ac:dyDescent="0.2">
      <c r="A42" s="7"/>
      <c r="B42" s="7"/>
      <c r="C42" s="7"/>
      <c r="D42" s="5">
        <v>1.0900000000000001</v>
      </c>
      <c r="E42" s="2">
        <f>D42</f>
        <v>1.0900000000000001</v>
      </c>
      <c r="G42" s="7" t="s">
        <v>60</v>
      </c>
      <c r="H42" s="6" t="s">
        <v>24</v>
      </c>
      <c r="I42" s="7" t="s">
        <v>61</v>
      </c>
      <c r="J42" s="7"/>
      <c r="K42" s="7" t="s">
        <v>31</v>
      </c>
      <c r="L42" s="7"/>
      <c r="M42" s="7"/>
      <c r="N42" s="7"/>
      <c r="O42" s="1">
        <f t="shared" si="6"/>
        <v>48</v>
      </c>
      <c r="P42" s="1">
        <f t="shared" si="7"/>
        <v>48</v>
      </c>
      <c r="Q42" s="6">
        <f t="shared" si="2"/>
        <v>0</v>
      </c>
      <c r="R42" s="6" t="str">
        <f t="shared" si="3"/>
        <v>&lt;1 second</v>
      </c>
      <c r="S42" s="4">
        <f t="shared" si="4"/>
        <v>1</v>
      </c>
      <c r="T42">
        <f t="shared" si="5"/>
        <v>0.5</v>
      </c>
      <c r="U42" s="7"/>
      <c r="V42" s="6"/>
      <c r="W42" s="6"/>
    </row>
    <row r="43" spans="1:23" ht="16" customHeight="1" x14ac:dyDescent="0.2">
      <c r="A43" s="7"/>
      <c r="B43" s="7"/>
      <c r="C43" s="7"/>
      <c r="D43" s="5">
        <v>1.1000000000000001</v>
      </c>
      <c r="E43" s="2">
        <f>D43</f>
        <v>1.1000000000000001</v>
      </c>
      <c r="G43" s="7" t="s">
        <v>62</v>
      </c>
      <c r="H43" s="6" t="s">
        <v>42</v>
      </c>
      <c r="I43" s="7" t="s">
        <v>63</v>
      </c>
      <c r="J43" s="7"/>
      <c r="K43" s="7" t="s">
        <v>44</v>
      </c>
      <c r="L43" s="7"/>
      <c r="M43" s="7"/>
      <c r="N43" s="7"/>
      <c r="O43" s="1">
        <f t="shared" si="6"/>
        <v>49.000000000000014</v>
      </c>
      <c r="P43" s="1">
        <f t="shared" si="7"/>
        <v>49.000000000000014</v>
      </c>
      <c r="Q43" s="6">
        <f t="shared" si="2"/>
        <v>0</v>
      </c>
      <c r="R43" s="6" t="str">
        <f t="shared" si="3"/>
        <v>&lt;1 second</v>
      </c>
      <c r="S43" s="4">
        <f t="shared" si="4"/>
        <v>1</v>
      </c>
      <c r="T43">
        <f t="shared" si="5"/>
        <v>0.5</v>
      </c>
      <c r="U43" s="7"/>
      <c r="V43" s="6"/>
      <c r="W43" s="6"/>
    </row>
    <row r="44" spans="1:23" ht="16" customHeight="1" x14ac:dyDescent="0.2">
      <c r="A44" s="7"/>
      <c r="B44" s="7"/>
      <c r="C44" s="7"/>
      <c r="D44" s="5">
        <v>1.1000000000000001</v>
      </c>
      <c r="E44" s="2">
        <v>1.1100000000000001</v>
      </c>
      <c r="G44" s="7" t="s">
        <v>48</v>
      </c>
      <c r="H44" s="6" t="s">
        <v>42</v>
      </c>
      <c r="I44" s="7" t="s">
        <v>64</v>
      </c>
      <c r="J44" s="7"/>
      <c r="K44" s="7" t="s">
        <v>49</v>
      </c>
      <c r="L44" s="7"/>
      <c r="M44" s="7" t="s">
        <v>32</v>
      </c>
      <c r="N44" s="7" t="s">
        <v>89</v>
      </c>
      <c r="O44" s="1">
        <f t="shared" si="6"/>
        <v>49.000000000000014</v>
      </c>
      <c r="P44" s="1">
        <f t="shared" si="7"/>
        <v>50.000000000000014</v>
      </c>
      <c r="Q44" s="6">
        <f t="shared" si="2"/>
        <v>1</v>
      </c>
      <c r="R44" s="6" t="str">
        <f t="shared" si="3"/>
        <v>&lt;2 seconds</v>
      </c>
      <c r="S44" s="4">
        <f t="shared" si="4"/>
        <v>2</v>
      </c>
      <c r="T44">
        <f t="shared" si="5"/>
        <v>1.5</v>
      </c>
      <c r="U44" s="7"/>
      <c r="V44" s="6"/>
      <c r="W44" s="6"/>
    </row>
    <row r="45" spans="1:23" ht="16" customHeight="1" x14ac:dyDescent="0.2">
      <c r="A45" s="7"/>
      <c r="B45" s="7"/>
      <c r="C45" s="7"/>
      <c r="D45" s="5">
        <v>1.1100000000000001</v>
      </c>
      <c r="E45" s="2">
        <f>D45</f>
        <v>1.1100000000000001</v>
      </c>
      <c r="G45" s="7" t="s">
        <v>79</v>
      </c>
      <c r="H45" s="6" t="s">
        <v>29</v>
      </c>
      <c r="I45" s="7" t="s">
        <v>61</v>
      </c>
      <c r="J45" s="7"/>
      <c r="K45" s="7" t="s">
        <v>31</v>
      </c>
      <c r="L45" s="7"/>
      <c r="M45" s="7"/>
      <c r="N45" s="7"/>
      <c r="O45" s="1">
        <f t="shared" si="6"/>
        <v>50.000000000000014</v>
      </c>
      <c r="P45" s="1">
        <f t="shared" si="7"/>
        <v>50.000000000000014</v>
      </c>
      <c r="Q45" s="6">
        <f t="shared" si="2"/>
        <v>0</v>
      </c>
      <c r="R45" s="6" t="str">
        <f t="shared" si="3"/>
        <v>&lt;1 second</v>
      </c>
      <c r="S45" s="4">
        <f t="shared" si="4"/>
        <v>1</v>
      </c>
      <c r="T45">
        <f t="shared" si="5"/>
        <v>0.5</v>
      </c>
      <c r="U45" s="7"/>
      <c r="V45" s="6"/>
      <c r="W45" s="6"/>
    </row>
    <row r="46" spans="1:23" ht="16" customHeight="1" x14ac:dyDescent="0.2">
      <c r="A46" s="7"/>
      <c r="B46" s="7"/>
      <c r="C46" s="7"/>
      <c r="D46" s="5">
        <v>1.1100000000000001</v>
      </c>
      <c r="E46" s="2">
        <f>D46</f>
        <v>1.1100000000000001</v>
      </c>
      <c r="G46" s="7" t="s">
        <v>66</v>
      </c>
      <c r="H46" s="6" t="s">
        <v>35</v>
      </c>
      <c r="I46" s="7" t="s">
        <v>61</v>
      </c>
      <c r="J46" s="7"/>
      <c r="K46" s="7" t="s">
        <v>31</v>
      </c>
      <c r="L46" s="7"/>
      <c r="M46" s="7"/>
      <c r="N46" s="7"/>
      <c r="O46" s="1">
        <f t="shared" si="6"/>
        <v>50.000000000000014</v>
      </c>
      <c r="P46" s="1">
        <f t="shared" si="7"/>
        <v>50.000000000000014</v>
      </c>
      <c r="Q46" s="6">
        <f t="shared" si="2"/>
        <v>0</v>
      </c>
      <c r="R46" s="6" t="str">
        <f t="shared" si="3"/>
        <v>&lt;1 second</v>
      </c>
      <c r="S46" s="4">
        <f t="shared" si="4"/>
        <v>1</v>
      </c>
      <c r="T46">
        <f t="shared" si="5"/>
        <v>0.5</v>
      </c>
      <c r="U46" s="7"/>
      <c r="V46" s="6"/>
      <c r="W46" s="6"/>
    </row>
    <row r="47" spans="1:23" ht="16" customHeight="1" x14ac:dyDescent="0.2">
      <c r="A47" s="7"/>
      <c r="B47" s="7"/>
      <c r="C47" s="7"/>
      <c r="D47" s="5">
        <v>1.1299999999999999</v>
      </c>
      <c r="E47" s="2">
        <v>1.1399999999999999</v>
      </c>
      <c r="G47" s="7" t="s">
        <v>48</v>
      </c>
      <c r="H47" s="6" t="s">
        <v>42</v>
      </c>
      <c r="I47" s="7" t="s">
        <v>86</v>
      </c>
      <c r="J47" s="7"/>
      <c r="K47" s="7" t="s">
        <v>31</v>
      </c>
      <c r="L47" s="7"/>
      <c r="M47" s="7" t="s">
        <v>32</v>
      </c>
      <c r="N47" s="7" t="s">
        <v>87</v>
      </c>
      <c r="O47" s="1">
        <f t="shared" si="6"/>
        <v>51.999999999999986</v>
      </c>
      <c r="P47" s="1">
        <f t="shared" si="7"/>
        <v>52.999999999999986</v>
      </c>
      <c r="Q47" s="6">
        <f t="shared" si="2"/>
        <v>1</v>
      </c>
      <c r="R47" s="6" t="str">
        <f t="shared" si="3"/>
        <v>&lt;2 seconds</v>
      </c>
      <c r="S47" s="4">
        <f t="shared" si="4"/>
        <v>2</v>
      </c>
      <c r="T47">
        <f t="shared" si="5"/>
        <v>1.5</v>
      </c>
      <c r="U47" s="7"/>
      <c r="V47" s="6"/>
      <c r="W47" s="6"/>
    </row>
    <row r="48" spans="1:23" ht="16" customHeight="1" x14ac:dyDescent="0.2">
      <c r="A48" s="7"/>
      <c r="B48" s="7"/>
      <c r="C48" s="7"/>
      <c r="D48" s="5">
        <v>1.1499999999999999</v>
      </c>
      <c r="E48" s="2">
        <f>D48</f>
        <v>1.1499999999999999</v>
      </c>
      <c r="G48" s="7" t="s">
        <v>72</v>
      </c>
      <c r="H48" s="6" t="s">
        <v>24</v>
      </c>
      <c r="I48" s="7" t="s">
        <v>61</v>
      </c>
      <c r="J48" s="7"/>
      <c r="K48" s="7" t="s">
        <v>31</v>
      </c>
      <c r="L48" s="7"/>
      <c r="M48" s="7"/>
      <c r="N48" s="7"/>
      <c r="O48" s="1">
        <f t="shared" si="6"/>
        <v>53.999999999999986</v>
      </c>
      <c r="P48" s="1">
        <f t="shared" si="7"/>
        <v>53.999999999999986</v>
      </c>
      <c r="Q48" s="6">
        <f t="shared" si="2"/>
        <v>0</v>
      </c>
      <c r="R48" s="6" t="str">
        <f t="shared" si="3"/>
        <v>&lt;1 second</v>
      </c>
      <c r="S48" s="4">
        <f t="shared" si="4"/>
        <v>1</v>
      </c>
      <c r="T48">
        <f t="shared" si="5"/>
        <v>0.5</v>
      </c>
      <c r="U48" s="7"/>
      <c r="V48" s="6"/>
      <c r="W48" s="6"/>
    </row>
    <row r="49" spans="1:23" ht="16" customHeight="1" x14ac:dyDescent="0.2">
      <c r="A49" s="7"/>
      <c r="B49" s="7"/>
      <c r="C49" s="7"/>
      <c r="D49" s="5">
        <v>1.1499999999999999</v>
      </c>
      <c r="E49" s="2">
        <v>1.18</v>
      </c>
      <c r="G49" s="7" t="s">
        <v>90</v>
      </c>
      <c r="H49" s="6" t="s">
        <v>42</v>
      </c>
      <c r="I49" s="7" t="s">
        <v>70</v>
      </c>
      <c r="J49" s="7"/>
      <c r="K49" s="7" t="s">
        <v>49</v>
      </c>
      <c r="L49" s="7"/>
      <c r="M49" s="7" t="s">
        <v>32</v>
      </c>
      <c r="N49" s="7" t="s">
        <v>91</v>
      </c>
      <c r="O49" s="1">
        <f t="shared" si="6"/>
        <v>53.999999999999986</v>
      </c>
      <c r="P49" s="1">
        <f t="shared" si="7"/>
        <v>57</v>
      </c>
      <c r="Q49" s="6">
        <f t="shared" si="2"/>
        <v>3.0000000000000142</v>
      </c>
      <c r="R49" s="6" t="str">
        <f t="shared" si="3"/>
        <v>&lt;4 seconds</v>
      </c>
      <c r="S49" s="4">
        <f t="shared" si="4"/>
        <v>4.0000000000000142</v>
      </c>
      <c r="T49">
        <f t="shared" si="5"/>
        <v>3.5000000000000142</v>
      </c>
      <c r="U49" s="7" t="s">
        <v>92</v>
      </c>
      <c r="V49" s="6"/>
      <c r="W49" s="6"/>
    </row>
    <row r="50" spans="1:23" ht="16" customHeight="1" x14ac:dyDescent="0.2">
      <c r="A50" s="7"/>
      <c r="B50" s="7"/>
      <c r="C50" s="7"/>
      <c r="D50" s="5">
        <v>1.19</v>
      </c>
      <c r="E50" s="2">
        <v>1.2</v>
      </c>
      <c r="G50" s="7" t="s">
        <v>23</v>
      </c>
      <c r="H50" s="6" t="s">
        <v>24</v>
      </c>
      <c r="I50" s="7" t="s">
        <v>25</v>
      </c>
      <c r="J50" s="7"/>
      <c r="K50" s="7" t="s">
        <v>26</v>
      </c>
      <c r="L50" s="7"/>
      <c r="M50" s="7"/>
      <c r="N50" s="7"/>
      <c r="O50" s="1">
        <f t="shared" si="6"/>
        <v>58</v>
      </c>
      <c r="P50" s="1">
        <f t="shared" si="7"/>
        <v>59</v>
      </c>
      <c r="Q50" s="6">
        <f t="shared" si="2"/>
        <v>1</v>
      </c>
      <c r="R50" s="6" t="str">
        <f t="shared" si="3"/>
        <v>&lt;2 seconds</v>
      </c>
      <c r="S50" s="4">
        <f t="shared" si="4"/>
        <v>2</v>
      </c>
      <c r="T50">
        <f t="shared" si="5"/>
        <v>1.5</v>
      </c>
      <c r="U50" s="7"/>
      <c r="V50" s="6"/>
      <c r="W50" s="6"/>
    </row>
    <row r="51" spans="1:23" ht="16" customHeight="1" x14ac:dyDescent="0.2">
      <c r="A51" s="7"/>
      <c r="B51" s="7"/>
      <c r="C51" s="7"/>
      <c r="D51" s="5">
        <v>1.2</v>
      </c>
      <c r="E51" s="2">
        <f>D51</f>
        <v>1.2</v>
      </c>
      <c r="G51" s="7" t="s">
        <v>28</v>
      </c>
      <c r="H51" s="6" t="s">
        <v>29</v>
      </c>
      <c r="I51" s="7" t="s">
        <v>30</v>
      </c>
      <c r="J51" s="7"/>
      <c r="K51" s="7" t="s">
        <v>31</v>
      </c>
      <c r="L51" s="7"/>
      <c r="M51" s="7" t="s">
        <v>32</v>
      </c>
      <c r="N51" s="7" t="s">
        <v>82</v>
      </c>
      <c r="O51" s="1">
        <f t="shared" si="6"/>
        <v>59</v>
      </c>
      <c r="P51" s="1">
        <f t="shared" si="7"/>
        <v>59</v>
      </c>
      <c r="Q51" s="6">
        <f t="shared" si="2"/>
        <v>0</v>
      </c>
      <c r="R51" s="6" t="str">
        <f t="shared" si="3"/>
        <v>&lt;1 second</v>
      </c>
      <c r="S51" s="4">
        <f t="shared" si="4"/>
        <v>1</v>
      </c>
      <c r="T51">
        <f t="shared" si="5"/>
        <v>0.5</v>
      </c>
      <c r="U51" s="7"/>
      <c r="V51" s="6"/>
      <c r="W51" s="6"/>
    </row>
    <row r="52" spans="1:23" ht="16" customHeight="1" x14ac:dyDescent="0.2">
      <c r="A52" s="6"/>
      <c r="B52" s="6"/>
      <c r="C52" s="6"/>
      <c r="D52" s="9">
        <v>1.21</v>
      </c>
      <c r="E52" s="2">
        <f>D52</f>
        <v>1.21</v>
      </c>
      <c r="G52" s="7" t="s">
        <v>93</v>
      </c>
      <c r="H52" s="6" t="s">
        <v>35</v>
      </c>
      <c r="I52" s="7" t="s">
        <v>84</v>
      </c>
      <c r="J52" s="7"/>
      <c r="K52" s="6" t="s">
        <v>31</v>
      </c>
      <c r="L52" s="6"/>
      <c r="M52" s="6"/>
      <c r="N52" s="7" t="s">
        <v>85</v>
      </c>
      <c r="O52" s="1">
        <f t="shared" si="6"/>
        <v>60</v>
      </c>
      <c r="P52" s="1">
        <f t="shared" si="7"/>
        <v>60</v>
      </c>
      <c r="Q52" s="6">
        <f t="shared" si="2"/>
        <v>0</v>
      </c>
      <c r="R52" s="6" t="str">
        <f t="shared" si="3"/>
        <v>&lt;1 second</v>
      </c>
      <c r="S52" s="4">
        <f t="shared" si="4"/>
        <v>1</v>
      </c>
      <c r="T52">
        <f t="shared" si="5"/>
        <v>0.5</v>
      </c>
      <c r="U52" s="7"/>
      <c r="V52" s="6"/>
      <c r="W52" s="6"/>
    </row>
    <row r="53" spans="1:23" ht="16" customHeight="1" x14ac:dyDescent="0.2">
      <c r="E53" s="2"/>
      <c r="O53" s="1"/>
      <c r="P53" s="1"/>
    </row>
    <row r="54" spans="1:23" ht="16" customHeight="1" x14ac:dyDescent="0.2">
      <c r="E54" s="2"/>
      <c r="O54" s="1"/>
      <c r="P54" s="1"/>
    </row>
    <row r="55" spans="1:23" ht="16" customHeight="1" x14ac:dyDescent="0.2">
      <c r="E55" s="2"/>
      <c r="O55" s="1"/>
      <c r="P55" s="1"/>
    </row>
    <row r="56" spans="1:23" ht="16" customHeight="1" x14ac:dyDescent="0.2">
      <c r="E56" s="2"/>
      <c r="O56" s="1"/>
      <c r="P56" s="1"/>
    </row>
    <row r="57" spans="1:23" ht="16" customHeight="1" x14ac:dyDescent="0.2">
      <c r="E57" s="2"/>
      <c r="O57" s="1"/>
      <c r="P57" s="1"/>
    </row>
    <row r="58" spans="1:23" ht="16" customHeight="1" x14ac:dyDescent="0.2">
      <c r="E58" s="2"/>
      <c r="O58" s="1"/>
      <c r="P58" s="1"/>
    </row>
    <row r="59" spans="1:23" ht="16" customHeight="1" x14ac:dyDescent="0.2">
      <c r="E59" s="2"/>
      <c r="O59" s="1"/>
      <c r="P59" s="1"/>
    </row>
    <row r="60" spans="1:23" ht="16" customHeight="1" x14ac:dyDescent="0.2">
      <c r="E60" s="2"/>
      <c r="O60" s="1"/>
      <c r="P60" s="1"/>
    </row>
    <row r="61" spans="1:23" ht="16" customHeight="1" x14ac:dyDescent="0.2">
      <c r="E61" s="2"/>
      <c r="O61" s="1"/>
      <c r="P61" s="1"/>
    </row>
    <row r="62" spans="1:23" ht="16" customHeight="1" x14ac:dyDescent="0.2">
      <c r="E62" s="2"/>
      <c r="O62" s="1"/>
      <c r="P62" s="1"/>
    </row>
    <row r="63" spans="1:23" ht="16" customHeight="1" x14ac:dyDescent="0.2">
      <c r="E63" s="2"/>
      <c r="O63" s="1"/>
      <c r="P63" s="1"/>
    </row>
    <row r="64" spans="1:23" ht="16" customHeight="1" x14ac:dyDescent="0.2">
      <c r="E64" s="2"/>
      <c r="O64" s="1"/>
      <c r="P64" s="1"/>
    </row>
    <row r="65" spans="5:16" ht="16" customHeight="1" x14ac:dyDescent="0.2">
      <c r="E65" s="2"/>
      <c r="O65" s="1"/>
      <c r="P65" s="1"/>
    </row>
    <row r="66" spans="5:16" ht="16" customHeight="1" x14ac:dyDescent="0.2">
      <c r="E66" s="2"/>
      <c r="O66" s="1"/>
      <c r="P66" s="1"/>
    </row>
    <row r="67" spans="5:16" ht="16" customHeight="1" x14ac:dyDescent="0.2">
      <c r="E67" s="2"/>
      <c r="O67" s="1"/>
      <c r="P67" s="1"/>
    </row>
    <row r="68" spans="5:16" ht="16" customHeight="1" x14ac:dyDescent="0.2">
      <c r="E68" s="2"/>
      <c r="O68" s="1"/>
      <c r="P68" s="1"/>
    </row>
    <row r="69" spans="5:16" ht="16" customHeight="1" x14ac:dyDescent="0.2">
      <c r="E69" s="2"/>
      <c r="O69" s="1"/>
      <c r="P69" s="1"/>
    </row>
    <row r="70" spans="5:16" ht="16" customHeight="1" x14ac:dyDescent="0.2">
      <c r="E70" s="2"/>
      <c r="O70" s="1"/>
      <c r="P70" s="1"/>
    </row>
    <row r="71" spans="5:16" ht="16" customHeight="1" x14ac:dyDescent="0.2">
      <c r="E71" s="2"/>
      <c r="O71" s="1"/>
      <c r="P71" s="1"/>
    </row>
    <row r="72" spans="5:16" ht="16" customHeight="1" x14ac:dyDescent="0.2">
      <c r="E72" s="2"/>
      <c r="O72" s="1"/>
      <c r="P72" s="1"/>
    </row>
    <row r="73" spans="5:16" ht="16" customHeight="1" x14ac:dyDescent="0.2">
      <c r="E73" s="2"/>
      <c r="O73" s="1"/>
      <c r="P73" s="1"/>
    </row>
    <row r="74" spans="5:16" ht="16" customHeight="1" x14ac:dyDescent="0.2">
      <c r="E74" s="2"/>
      <c r="O74" s="1"/>
      <c r="P74" s="1"/>
    </row>
    <row r="75" spans="5:16" ht="16" customHeight="1" x14ac:dyDescent="0.2">
      <c r="E75" s="2"/>
      <c r="O75" s="1"/>
      <c r="P75" s="1"/>
    </row>
    <row r="76" spans="5:16" ht="16" customHeight="1" x14ac:dyDescent="0.2">
      <c r="E76" s="2"/>
      <c r="O76" s="1"/>
      <c r="P76" s="1"/>
    </row>
    <row r="77" spans="5:16" ht="16" customHeight="1" x14ac:dyDescent="0.2">
      <c r="E77" s="2"/>
      <c r="O77" s="1"/>
      <c r="P77" s="1"/>
    </row>
    <row r="78" spans="5:16" ht="16" customHeight="1" x14ac:dyDescent="0.2">
      <c r="E78" s="2"/>
      <c r="O78" s="1"/>
      <c r="P78" s="1"/>
    </row>
    <row r="79" spans="5:16" ht="16" customHeight="1" x14ac:dyDescent="0.2">
      <c r="E79" s="2"/>
      <c r="O79" s="1"/>
      <c r="P79" s="1"/>
    </row>
    <row r="80" spans="5:16" ht="16" customHeight="1" x14ac:dyDescent="0.2">
      <c r="E80" s="2"/>
      <c r="O80" s="1"/>
      <c r="P80" s="1"/>
    </row>
    <row r="81" spans="5:16" ht="16" customHeight="1" x14ac:dyDescent="0.2">
      <c r="E81" s="2"/>
      <c r="O81" s="1"/>
      <c r="P81" s="1"/>
    </row>
    <row r="82" spans="5:16" ht="16" customHeight="1" x14ac:dyDescent="0.2">
      <c r="E82" s="2"/>
      <c r="O82" s="1"/>
      <c r="P82" s="1"/>
    </row>
    <row r="83" spans="5:16" ht="16" customHeight="1" x14ac:dyDescent="0.2">
      <c r="E83" s="2"/>
      <c r="O83" s="1"/>
      <c r="P83" s="1"/>
    </row>
    <row r="84" spans="5:16" ht="16" customHeight="1" x14ac:dyDescent="0.2">
      <c r="E84" s="2"/>
      <c r="O84" s="1"/>
      <c r="P84" s="1"/>
    </row>
    <row r="85" spans="5:16" ht="16" customHeight="1" x14ac:dyDescent="0.2">
      <c r="E85" s="2"/>
      <c r="O85" s="1"/>
      <c r="P85" s="1"/>
    </row>
    <row r="86" spans="5:16" ht="16" customHeight="1" x14ac:dyDescent="0.2">
      <c r="E86" s="2"/>
      <c r="O86" s="1"/>
      <c r="P86" s="1"/>
    </row>
    <row r="87" spans="5:16" ht="16" customHeight="1" x14ac:dyDescent="0.2">
      <c r="E87" s="2"/>
      <c r="O87" s="1"/>
      <c r="P87" s="1"/>
    </row>
    <row r="88" spans="5:16" ht="16" customHeight="1" x14ac:dyDescent="0.2">
      <c r="E88" s="2"/>
      <c r="O88" s="1"/>
      <c r="P88" s="1"/>
    </row>
    <row r="89" spans="5:16" ht="16" customHeight="1" x14ac:dyDescent="0.2">
      <c r="E89" s="2"/>
      <c r="O89" s="1"/>
      <c r="P89" s="1"/>
    </row>
    <row r="90" spans="5:16" ht="16" customHeight="1" x14ac:dyDescent="0.2">
      <c r="E90" s="2"/>
      <c r="O90" s="1"/>
      <c r="P90" s="1"/>
    </row>
    <row r="91" spans="5:16" ht="16" customHeight="1" x14ac:dyDescent="0.2">
      <c r="E91" s="2"/>
      <c r="O91" s="1"/>
      <c r="P91" s="1"/>
    </row>
    <row r="92" spans="5:16" ht="16" customHeight="1" x14ac:dyDescent="0.2">
      <c r="E92" s="2"/>
      <c r="O92" s="1"/>
      <c r="P92" s="1"/>
    </row>
    <row r="93" spans="5:16" ht="16" customHeight="1" x14ac:dyDescent="0.2">
      <c r="E93" s="2"/>
      <c r="O93" s="1"/>
      <c r="P93" s="1"/>
    </row>
    <row r="94" spans="5:16" ht="16" customHeight="1" x14ac:dyDescent="0.2">
      <c r="E94" s="2"/>
      <c r="O94" s="1"/>
      <c r="P94" s="1"/>
    </row>
    <row r="95" spans="5:16" ht="16" customHeight="1" x14ac:dyDescent="0.2">
      <c r="E95" s="2"/>
      <c r="O95" s="1"/>
      <c r="P95" s="1"/>
    </row>
    <row r="96" spans="5:16" ht="16" customHeight="1" x14ac:dyDescent="0.2">
      <c r="E96" s="2"/>
      <c r="O96" s="1"/>
      <c r="P96" s="1"/>
    </row>
    <row r="97" spans="5:16" ht="16" customHeight="1" x14ac:dyDescent="0.2">
      <c r="E97" s="2"/>
      <c r="O97" s="1"/>
      <c r="P97" s="1"/>
    </row>
    <row r="98" spans="5:16" ht="16" customHeight="1" x14ac:dyDescent="0.2">
      <c r="E98" s="2"/>
      <c r="O98" s="1"/>
      <c r="P98" s="1"/>
    </row>
    <row r="99" spans="5:16" ht="16" customHeight="1" x14ac:dyDescent="0.2">
      <c r="E99" s="2"/>
      <c r="O99" s="1"/>
      <c r="P99" s="1"/>
    </row>
    <row r="100" spans="5:16" ht="16" customHeight="1" x14ac:dyDescent="0.2">
      <c r="E100" s="2"/>
      <c r="O100" s="1"/>
      <c r="P100" s="1"/>
    </row>
    <row r="101" spans="5:16" ht="16" customHeight="1" x14ac:dyDescent="0.2">
      <c r="E101" s="2"/>
      <c r="O101" s="1"/>
      <c r="P101" s="1"/>
    </row>
    <row r="102" spans="5:16" ht="16" customHeight="1" x14ac:dyDescent="0.2">
      <c r="E102" s="2"/>
      <c r="O102" s="1"/>
      <c r="P102" s="1"/>
    </row>
    <row r="103" spans="5:16" ht="16" customHeight="1" x14ac:dyDescent="0.2">
      <c r="E103" s="2"/>
      <c r="O103" s="1"/>
      <c r="P103" s="1"/>
    </row>
    <row r="104" spans="5:16" ht="16" customHeight="1" x14ac:dyDescent="0.2">
      <c r="E104" s="2"/>
      <c r="O104" s="1"/>
      <c r="P104" s="1"/>
    </row>
    <row r="105" spans="5:16" ht="16" customHeight="1" x14ac:dyDescent="0.2">
      <c r="E105" s="2"/>
      <c r="O105" s="1"/>
      <c r="P105" s="1"/>
    </row>
    <row r="106" spans="5:16" ht="16" customHeight="1" x14ac:dyDescent="0.2">
      <c r="E106" s="2"/>
      <c r="O106" s="1"/>
      <c r="P106" s="1"/>
    </row>
    <row r="107" spans="5:16" ht="16" customHeight="1" x14ac:dyDescent="0.2">
      <c r="E107" s="2"/>
      <c r="O107" s="1"/>
      <c r="P107" s="1"/>
    </row>
    <row r="108" spans="5:16" ht="16" customHeight="1" x14ac:dyDescent="0.2">
      <c r="E108" s="2"/>
      <c r="O108" s="1"/>
      <c r="P108" s="1"/>
    </row>
    <row r="109" spans="5:16" ht="16" customHeight="1" x14ac:dyDescent="0.2">
      <c r="E109" s="2"/>
      <c r="O109" s="1"/>
      <c r="P109" s="1"/>
    </row>
    <row r="110" spans="5:16" ht="16" customHeight="1" x14ac:dyDescent="0.2">
      <c r="E110" s="2"/>
      <c r="O110" s="1"/>
      <c r="P110" s="1"/>
    </row>
    <row r="111" spans="5:16" ht="16" customHeight="1" x14ac:dyDescent="0.2">
      <c r="E111" s="2"/>
    </row>
  </sheetData>
  <dataValidations count="4">
    <dataValidation type="list" allowBlank="1" showInputMessage="1" showErrorMessage="1" errorTitle="Invalid value" error="Please select from the list or leave blank." promptTitle="Select value" prompt="Select difficulty rating" sqref="H2:H200" xr:uid="{00000000-0002-0000-0000-000004000000}">
      <formula1>"EASY,MEDIUM,HARD,VERY HARD"</formula1>
    </dataValidation>
    <dataValidation type="list" allowBlank="1" showInputMessage="1" showErrorMessage="1" errorTitle="Invalid value" error="Please select from the list or leave blank." promptTitle="Select value" prompt="Select primary input method" sqref="K2:K200" xr:uid="{00000000-0002-0000-0000-000005000000}">
      <formula1>"cursor,keyboard,gesture,complex gesture,multi_step,multi_input"</formula1>
    </dataValidation>
    <dataValidation type="list" allowBlank="1" showInputMessage="1" showErrorMessage="1" errorTitle="Invalid value" error="Please select from the list or leave blank." promptTitle="Select value" prompt="Select secondary input method" sqref="L2:L200" xr:uid="{00000000-0002-0000-0000-000006000000}">
      <formula1>"cursor,keyboard,gesture,complex gesture,multi_step,multi_input"</formula1>
    </dataValidation>
    <dataValidation type="list" allowBlank="1" showInputMessage="1" showErrorMessage="1" errorTitle="Invalid value" error="Please select from the list or leave blank." promptTitle="Select value" prompt="Select location" sqref="M2:M200" xr:uid="{00000000-0002-0000-0000-000007000000}">
      <formula1>"canvas,gui"</formula1>
    </dataValidation>
  </dataValidations>
  <hyperlinks>
    <hyperlink ref="B2" r:id="rId1" xr:uid="{00000000-0004-0000-0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Invalid value" error="Please select from the list or leave blank." promptTitle="Select value" prompt="Select or type an action" xr:uid="{00000000-0002-0000-0000-000000000000}">
          <x14:formula1>
            <xm:f>_lists!$A$2:$A$28</xm:f>
          </x14:formula1>
          <xm:sqref>G2:G200</xm:sqref>
        </x14:dataValidation>
        <x14:dataValidation type="list" allowBlank="1" showInputMessage="1" showErrorMessage="1" errorTitle="Invalid value" error="Please select from the list or leave blank." promptTitle="Select value" prompt="Select a primary tag" xr:uid="{00000000-0002-0000-0000-000001000000}">
          <x14:formula1>
            <xm:f>_lists!$B$2:$B$16</xm:f>
          </x14:formula1>
          <xm:sqref>I2:I200</xm:sqref>
        </x14:dataValidation>
        <x14:dataValidation type="list" allowBlank="1" showInputMessage="1" showErrorMessage="1" errorTitle="Invalid value" error="Please select from the list or leave blank." promptTitle="Select value" prompt="Select a secondary tag" xr:uid="{00000000-0002-0000-0000-000002000000}">
          <x14:formula1>
            <xm:f>_lists!$B$2:$B$16</xm:f>
          </x14:formula1>
          <xm:sqref>J2:J200</xm:sqref>
        </x14:dataValidation>
        <x14:dataValidation type="list" allowBlank="1" showInputMessage="1" showErrorMessage="1" errorTitle="Invalid value" error="Please select from the list or leave blank." promptTitle="Select value" prompt="Select or type an intent" xr:uid="{00000000-0002-0000-0000-000003000000}">
          <x14:formula1>
            <xm:f>_lists!$C$2:$C$13</xm:f>
          </x14:formula1>
          <xm:sqref>N2:N200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94</v>
      </c>
      <c r="B1" t="s">
        <v>95</v>
      </c>
      <c r="C1" t="s">
        <v>96</v>
      </c>
    </row>
    <row r="2" spans="1:3" x14ac:dyDescent="0.2">
      <c r="A2" t="s">
        <v>23</v>
      </c>
      <c r="B2" t="s">
        <v>25</v>
      </c>
      <c r="C2" t="s">
        <v>82</v>
      </c>
    </row>
    <row r="3" spans="1:3" x14ac:dyDescent="0.2">
      <c r="A3" t="s">
        <v>34</v>
      </c>
      <c r="B3" t="s">
        <v>61</v>
      </c>
      <c r="C3" t="s">
        <v>33</v>
      </c>
    </row>
    <row r="4" spans="1:3" x14ac:dyDescent="0.2">
      <c r="A4" t="s">
        <v>76</v>
      </c>
      <c r="B4" t="s">
        <v>38</v>
      </c>
      <c r="C4" t="s">
        <v>85</v>
      </c>
    </row>
    <row r="5" spans="1:3" x14ac:dyDescent="0.2">
      <c r="A5" t="s">
        <v>66</v>
      </c>
      <c r="B5" t="s">
        <v>84</v>
      </c>
      <c r="C5" t="s">
        <v>89</v>
      </c>
    </row>
    <row r="6" spans="1:3" x14ac:dyDescent="0.2">
      <c r="A6" t="s">
        <v>72</v>
      </c>
      <c r="B6" t="s">
        <v>52</v>
      </c>
      <c r="C6" t="s">
        <v>71</v>
      </c>
    </row>
    <row r="7" spans="1:3" x14ac:dyDescent="0.2">
      <c r="A7" t="s">
        <v>77</v>
      </c>
      <c r="B7" t="s">
        <v>75</v>
      </c>
      <c r="C7" t="s">
        <v>88</v>
      </c>
    </row>
    <row r="8" spans="1:3" x14ac:dyDescent="0.2">
      <c r="A8" t="s">
        <v>60</v>
      </c>
      <c r="B8" t="s">
        <v>43</v>
      </c>
      <c r="C8" t="s">
        <v>87</v>
      </c>
    </row>
    <row r="9" spans="1:3" x14ac:dyDescent="0.2">
      <c r="A9" t="s">
        <v>79</v>
      </c>
      <c r="B9" t="s">
        <v>46</v>
      </c>
      <c r="C9" t="s">
        <v>91</v>
      </c>
    </row>
    <row r="10" spans="1:3" x14ac:dyDescent="0.2">
      <c r="A10" t="s">
        <v>37</v>
      </c>
      <c r="B10" t="s">
        <v>55</v>
      </c>
      <c r="C10" t="s">
        <v>50</v>
      </c>
    </row>
    <row r="11" spans="1:3" x14ac:dyDescent="0.2">
      <c r="A11" t="s">
        <v>93</v>
      </c>
      <c r="B11" t="s">
        <v>70</v>
      </c>
      <c r="C11" t="s">
        <v>47</v>
      </c>
    </row>
    <row r="12" spans="1:3" x14ac:dyDescent="0.2">
      <c r="A12" t="s">
        <v>83</v>
      </c>
      <c r="B12" t="s">
        <v>86</v>
      </c>
      <c r="C12" t="s">
        <v>56</v>
      </c>
    </row>
    <row r="13" spans="1:3" x14ac:dyDescent="0.2">
      <c r="A13" t="s">
        <v>59</v>
      </c>
      <c r="B13" t="s">
        <v>58</v>
      </c>
      <c r="C13" t="s">
        <v>65</v>
      </c>
    </row>
    <row r="14" spans="1:3" x14ac:dyDescent="0.2">
      <c r="A14" t="s">
        <v>51</v>
      </c>
      <c r="B14" t="s">
        <v>30</v>
      </c>
    </row>
    <row r="15" spans="1:3" x14ac:dyDescent="0.2">
      <c r="A15" t="s">
        <v>53</v>
      </c>
      <c r="B15" t="s">
        <v>63</v>
      </c>
    </row>
    <row r="16" spans="1:3" x14ac:dyDescent="0.2">
      <c r="A16" t="s">
        <v>41</v>
      </c>
      <c r="B16" t="s">
        <v>64</v>
      </c>
    </row>
    <row r="17" spans="1:1" x14ac:dyDescent="0.2">
      <c r="A17" t="s">
        <v>78</v>
      </c>
    </row>
    <row r="18" spans="1:1" x14ac:dyDescent="0.2">
      <c r="A18" t="s">
        <v>45</v>
      </c>
    </row>
    <row r="19" spans="1:1" x14ac:dyDescent="0.2">
      <c r="A19" t="s">
        <v>48</v>
      </c>
    </row>
    <row r="20" spans="1:1" x14ac:dyDescent="0.2">
      <c r="A20" t="s">
        <v>74</v>
      </c>
    </row>
    <row r="21" spans="1:1" x14ac:dyDescent="0.2">
      <c r="A21" t="s">
        <v>69</v>
      </c>
    </row>
    <row r="22" spans="1:1" x14ac:dyDescent="0.2">
      <c r="A22" t="s">
        <v>90</v>
      </c>
    </row>
    <row r="23" spans="1:1" x14ac:dyDescent="0.2">
      <c r="A23" t="s">
        <v>80</v>
      </c>
    </row>
    <row r="24" spans="1:1" x14ac:dyDescent="0.2">
      <c r="A24" t="s">
        <v>97</v>
      </c>
    </row>
    <row r="25" spans="1:1" x14ac:dyDescent="0.2">
      <c r="A25" t="s">
        <v>28</v>
      </c>
    </row>
    <row r="26" spans="1:1" x14ac:dyDescent="0.2">
      <c r="A26" t="s">
        <v>62</v>
      </c>
    </row>
    <row r="27" spans="1:1" x14ac:dyDescent="0.2">
      <c r="A27" t="s">
        <v>57</v>
      </c>
    </row>
    <row r="28" spans="1:1" x14ac:dyDescent="0.2">
      <c r="A28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Talbot, Marci</cp:lastModifiedBy>
  <dcterms:created xsi:type="dcterms:W3CDTF">2026-05-05T19:22:30Z</dcterms:created>
  <dcterms:modified xsi:type="dcterms:W3CDTF">2026-05-09T15:20:59Z</dcterms:modified>
</cp:coreProperties>
</file>